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 Ideas" sheetId="1" state="visible" r:id="rId3"/>
    <sheet name="Executive Summary" sheetId="2" state="visible" r:id="rId4"/>
  </sheets>
  <definedNames>
    <definedName function="false" hidden="true" localSheetId="0" name="_xlnm._FilterDatabase" vbProcedure="false">'Video Ideas'!$A$1:$K$71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<sst xmlns="http://schemas.openxmlformats.org/spreadsheetml/2006/main" count="461" uniqueCount="204">
  <si>
    <t xml:space="preserve">ID</t>
  </si>
  <si>
    <t xml:space="preserve">Theme</t>
  </si>
  <si>
    <t xml:space="preserve">Sub-theme</t>
  </si>
  <si>
    <t xml:space="preserve">Video Idea</t>
  </si>
  <si>
    <t xml:space="preserve">Description / Format</t>
  </si>
  <si>
    <t xml:space="preserve">Project Relevance (1-5)</t>
  </si>
  <si>
    <t xml:space="preserve">Virality Potential (1-5)</t>
  </si>
  <si>
    <t xml:space="preserve">Priority Score (/10)</t>
  </si>
  <si>
    <t xml:space="preserve">Complexity (1-5)</t>
  </si>
  <si>
    <t xml:space="preserve">Est. Production Time</t>
  </si>
  <si>
    <t xml:space="preserve">Face Cam Required</t>
  </si>
  <si>
    <t xml:space="preserve">Brand &amp; Promo</t>
  </si>
  <si>
    <t xml:space="preserve">App launch</t>
  </si>
  <si>
    <t xml:space="preserve">Hero promo video</t>
  </si>
  <si>
    <t xml:space="preserve">Explain the Swappanini concept to camera with on-screen app demo (decide: keep UI overlay visible throughout, or cut away to clean talking-head)</t>
  </si>
  <si>
    <t xml:space="preserve">30-45 min</t>
  </si>
  <si>
    <t xml:space="preserve">Yes</t>
  </si>
  <si>
    <t xml:space="preserve">Community concept</t>
  </si>
  <si>
    <t xml:space="preserve">"Collective album" video</t>
  </si>
  <si>
    <t xml:space="preserve">Show the shared/community swap experience - multiple collectors' albums coming together visually</t>
  </si>
  <si>
    <t xml:space="preserve">Optional</t>
  </si>
  <si>
    <t xml:space="preserve">Collection Journey</t>
  </si>
  <si>
    <t xml:space="preserve">Best lineup</t>
  </si>
  <si>
    <t xml:space="preserve">My current best XI</t>
  </si>
  <si>
    <t xml:space="preserve">Your ideal starting XI built only from players whose stickers you currently own (not necessarily a complete album) - updates as the collection grows</t>
  </si>
  <si>
    <t xml:space="preserve">10-15 min</t>
  </si>
  <si>
    <t xml:space="preserve">Tips &amp; tricks</t>
  </si>
  <si>
    <t xml:space="preserve">Coca-Cola pack-opening trick</t>
  </si>
  <si>
    <t xml:space="preserve">Lifehack technique using a Coca-Cola can/bottle to 'control' which sticker comes out of a pack</t>
  </si>
  <si>
    <t xml:space="preserve">&lt;1 min</t>
  </si>
  <si>
    <t xml:space="preserve">No</t>
  </si>
  <si>
    <t xml:space="preserve">Sticker placement tutorial + my fails</t>
  </si>
  <si>
    <t xml:space="preserve">Quick tutorial on how to glue stickers properly in the album, then a humorous segment showing your own badly-placed / crooked stickers</t>
  </si>
  <si>
    <t xml:space="preserve">Collection showcase</t>
  </si>
  <si>
    <t xml:space="preserve">All my crests/badges</t>
  </si>
  <si>
    <t xml:space="preserve">Showcase the full crest/badge page of the album</t>
  </si>
  <si>
    <t xml:space="preserve">Comedy/Showcase</t>
  </si>
  <si>
    <t xml:space="preserve">"Payday = packs" haul</t>
  </si>
  <si>
    <t xml:space="preserve">Already filmed - reframed as a 'when you get paid and immediately spend it all on packs' comedy format</t>
  </si>
  <si>
    <t xml:space="preserve">Ready (0 min)</t>
  </si>
  <si>
    <t xml:space="preserve">Progress milestones</t>
  </si>
  <si>
    <t xml:space="preserve">Album completion: 50%</t>
  </si>
  <si>
    <t xml:space="preserve">Short progress update - album 50% complete</t>
  </si>
  <si>
    <t xml:space="preserve">Album completion: 65%</t>
  </si>
  <si>
    <t xml:space="preserve">Short progress update - album 65% complete</t>
  </si>
  <si>
    <t xml:space="preserve">Album completion: 75%</t>
  </si>
  <si>
    <t xml:space="preserve">Short progress update - album 75% complete</t>
  </si>
  <si>
    <t xml:space="preserve">Album completion: 80%</t>
  </si>
  <si>
    <t xml:space="preserve">Short progress update - album 80% complete</t>
  </si>
  <si>
    <t xml:space="preserve">Album completion: 85%</t>
  </si>
  <si>
    <t xml:space="preserve">Short progress update - album 85% complete</t>
  </si>
  <si>
    <t xml:space="preserve">Album completion: 90%</t>
  </si>
  <si>
    <t xml:space="preserve">Short progress update - album 90% complete</t>
  </si>
  <si>
    <t xml:space="preserve">Album completion: 95%</t>
  </si>
  <si>
    <t xml:space="preserve">Short progress update - album 95% complete</t>
  </si>
  <si>
    <t xml:space="preserve">Album completion: 100% (celebration)</t>
  </si>
  <si>
    <t xml:space="preserve">The big reveal - album finally complete, celebration format</t>
  </si>
  <si>
    <t xml:space="preserve">15-20 min</t>
  </si>
  <si>
    <t xml:space="preserve">Visual effects</t>
  </si>
  <si>
    <t xml:space="preserve">Slow-motion: player walks to his slot</t>
  </si>
  <si>
    <t xml:space="preserve">Slow-motion / visual-effect video where a 'player' physically walks/travels to the location of his sticker in the album, as if taking his place</t>
  </si>
  <si>
    <t xml:space="preserve">Player content (chants)</t>
  </si>
  <si>
    <t xml:space="preserve">Chant video: Mohamed Salah</t>
  </si>
  <si>
    <t xml:space="preserve">Sticker reveal for Mohamed Salah (Egypt, Liverpool) set to his iconic 'Mo Salah' terrace chant - one of the most viral football chants worldwide</t>
  </si>
  <si>
    <t xml:space="preserve">Chant video: Erling Haaland</t>
  </si>
  <si>
    <t xml:space="preserve">Sticker reveal for Erling Haaland (Norway, Manchester City) set to his chant / cult terrace tune</t>
  </si>
  <si>
    <t xml:space="preserve">Chant video: Martin Odegaard</t>
  </si>
  <si>
    <t xml:space="preserve">Sticker reveal for Martin Odegaard (Norway, Arsenal) set to the 'Ode-gaard' chant</t>
  </si>
  <si>
    <t xml:space="preserve">Chant video: John McGinn</t>
  </si>
  <si>
    <t xml:space="preserve">Sticker reveal for John McGinn (Scotland, Aston Villa) - cult-favourite chant with a huge fan following</t>
  </si>
  <si>
    <t xml:space="preserve">Chant video: Cole Palmer</t>
  </si>
  <si>
    <t xml:space="preserve">Sticker reveal for Cole Palmer (England, Chelsea) - chant + his viral 'Cold Palmer' celebration pose</t>
  </si>
  <si>
    <t xml:space="preserve">Chant video: Virgil van Dijk</t>
  </si>
  <si>
    <t xml:space="preserve">Sticker reveal for Virgil van Dijk (Netherlands, Liverpool) - the captain's chant</t>
  </si>
  <si>
    <t xml:space="preserve">Chant video: Granit Xhaka</t>
  </si>
  <si>
    <t xml:space="preserve">Sticker reveal for Granit Xhaka (Switzerland, Sunderland) - the iconic 'Xhaka, woah' chant</t>
  </si>
  <si>
    <t xml:space="preserve">Chant video: Andrew Robertson</t>
  </si>
  <si>
    <t xml:space="preserve">Sticker reveal for Andrew Robertson (Scotland, Liverpool) - fan-favourite chant</t>
  </si>
  <si>
    <t xml:space="preserve">Country Series (Complete Squad)</t>
  </si>
  <si>
    <t xml:space="preserve">Team set</t>
  </si>
  <si>
    <t xml:space="preserve">Complete squad: Brazil</t>
  </si>
  <si>
    <t xml:space="preserve">Lay out and film every sticker for this national team</t>
  </si>
  <si>
    <t xml:space="preserve">Complete squad: France</t>
  </si>
  <si>
    <t xml:space="preserve">Lay out and film every sticker for this national team (home audience)</t>
  </si>
  <si>
    <t xml:space="preserve">Complete squad: England</t>
  </si>
  <si>
    <t xml:space="preserve">Complete squad: Spain</t>
  </si>
  <si>
    <t xml:space="preserve">Complete squad: Uruguay</t>
  </si>
  <si>
    <t xml:space="preserve">Complete squad: Colombia</t>
  </si>
  <si>
    <t xml:space="preserve">Complete squad: Scotland</t>
  </si>
  <si>
    <t xml:space="preserve">Complete squad: Ecuador</t>
  </si>
  <si>
    <t xml:space="preserve">Lay out and film every sticker for this national team - ties into the 'send him Ecuador' joke (cross-promo)</t>
  </si>
  <si>
    <t xml:space="preserve">Complete squad: Panama</t>
  </si>
  <si>
    <t xml:space="preserve">Lay out and film every sticker for this national team - novelty: first-ever World Cup squad</t>
  </si>
  <si>
    <t xml:space="preserve">Complete squad: Bosnia</t>
  </si>
  <si>
    <t xml:space="preserve">Complete squad: DR Congo</t>
  </si>
  <si>
    <t xml:space="preserve">Lay out and film every sticker for this national team - novelty: qualification storyline</t>
  </si>
  <si>
    <t xml:space="preserve">Humor &amp; Sketches</t>
  </si>
  <si>
    <t xml:space="preserve">Delivery parody</t>
  </si>
  <si>
    <t xml:space="preserve">Sticker pack "Uber Eats" delivery</t>
  </si>
  <si>
    <t xml:space="preserve">Sketch: a pack delivered to your door like a food order, with a 'delivery driver' cameo</t>
  </si>
  <si>
    <t xml:space="preserve">Eurostar pack delivery</t>
  </si>
  <si>
    <t xml:space="preserve">Same delivery gag but set on/around the Eurostar - international swap angle</t>
  </si>
  <si>
    <t xml:space="preserve">45-60 min</t>
  </si>
  <si>
    <t xml:space="preserve">Couple sketch</t>
  </si>
  <si>
    <t xml:space="preserve">"Wrong bag" shopping swap</t>
  </si>
  <si>
    <t xml:space="preserve">Already filmed - your partner hands you a clothing item on a hanger to try on; you take it... and open a sticker pack instead</t>
  </si>
  <si>
    <t xml:space="preserve">Trend audio</t>
  </si>
  <si>
    <t xml:space="preserve">"I don't cook, I don't clean" (...I collect stickers)</t>
  </si>
  <si>
    <t xml:space="preserve">Adapt the trending audio format to the sticker-collector persona</t>
  </si>
  <si>
    <t xml:space="preserve">"Please send him Ecuador!"</t>
  </si>
  <si>
    <t xml:space="preserve">Couple travels to the country where a player's career began/ended; punchline - she begs for the missing Ecuador sticker</t>
  </si>
  <si>
    <t xml:space="preserve">Food/travel trend</t>
  </si>
  <si>
    <t xml:space="preserve">7 countries / 7 meals</t>
  </si>
  <si>
    <t xml:space="preserve">World Cup-themed food tour - 7 national dishes in one video, tie back to swapping with collectors from those countries</t>
  </si>
  <si>
    <t xml:space="preserve">1h+</t>
  </si>
  <si>
    <t xml:space="preserve">Treasure hunt</t>
  </si>
  <si>
    <t xml:space="preserve">Treasure hunt #1 - Hide (Parc des Princes area)</t>
  </si>
  <si>
    <t xml:space="preserve">Hide a rare/double sticker near a Paris football landmark; the video gives a visual clue (background landmark) without naming the location</t>
  </si>
  <si>
    <t xml:space="preserve">Treasure hunt #1 - Reveal</t>
  </si>
  <si>
    <t xml:space="preserve">48h later: exact clue dropped via Instagram Story (drives story views/profile traffic); recap of whether it was found + reward (priority swap / starter pack) for the finder</t>
  </si>
  <si>
    <t xml:space="preserve">Treasure hunt #2 - Hide (Champs-Elysees sports store)</t>
  </si>
  <si>
    <t xml:space="preserve">Hide a rare/double sticker near a major Paris sports retailer; visual clue only, no location named</t>
  </si>
  <si>
    <t xml:space="preserve">Treasure hunt #2 - Reveal</t>
  </si>
  <si>
    <t xml:space="preserve">48h later: exact clue via Instagram Story; recap + reward for the finder</t>
  </si>
  <si>
    <t xml:space="preserve">Treasure hunt #3 - Hide (football-themed cafe/bar)</t>
  </si>
  <si>
    <t xml:space="preserve">Hide a rare/double sticker at a football-themed Paris cafe/bar; visual clue only</t>
  </si>
  <si>
    <t xml:space="preserve">Treasure hunt #3 - Reveal</t>
  </si>
  <si>
    <t xml:space="preserve">Travel trend</t>
  </si>
  <si>
    <t xml:space="preserve">Player tour guide in Paris</t>
  </si>
  <si>
    <t xml:space="preserve">Reverse the 'your bestie takes you everywhere' trend - you play tour guide and show Paris to a 'player' (costume/effect), walking him through iconic spots</t>
  </si>
  <si>
    <t xml:space="preserve">Street parody</t>
  </si>
  <si>
    <t xml:space="preserve">"Pack dealer" at the bottom of the block</t>
  </si>
  <si>
    <t xml:space="preserve">Parody of street-dealer slang/aesthetic, but 'dealing' sticker packs</t>
  </si>
  <si>
    <t xml:space="preserve">Doubles &amp; Swap Demo</t>
  </si>
  <si>
    <t xml:space="preserve">Lineup showcase</t>
  </si>
  <si>
    <t xml:space="preserve">"My best XI in doubles"</t>
  </si>
  <si>
    <t xml:space="preserve">Build a starting XI entirely from duplicate stickers - shows swap inventory at a glance</t>
  </si>
  <si>
    <t xml:space="preserve">Call to action</t>
  </si>
  <si>
    <t xml:space="preserve">"Exchange alert" live matching</t>
  </si>
  <si>
    <t xml:space="preserve">Ask viewers to comment what they have/need; match live in comments/replies</t>
  </si>
  <si>
    <t xml:space="preserve">Inventory</t>
  </si>
  <si>
    <t xml:space="preserve">All my doubles</t>
  </si>
  <si>
    <t xml:space="preserve">Full inventory showcase of every duplicate sticker owned</t>
  </si>
  <si>
    <t xml:space="preserve">Before/after</t>
  </si>
  <si>
    <t xml:space="preserve">Real swap with a work colleague</t>
  </si>
  <si>
    <t xml:space="preserve">Real swap filmed with a work colleague - before/after showing both collections completed through the trade</t>
  </si>
  <si>
    <t xml:space="preserve">20-30 min</t>
  </si>
  <si>
    <t xml:space="preserve">Platform demo</t>
  </si>
  <si>
    <t xml:space="preserve">Swap from the app - walkthrough</t>
  </si>
  <si>
    <t xml:space="preserve">Screen-recorded live demo of completing a swap on the Swappanini platform</t>
  </si>
  <si>
    <t xml:space="preserve">30 min</t>
  </si>
  <si>
    <t xml:space="preserve">Pack Opening Series</t>
  </si>
  <si>
    <t xml:space="preserve">Ready to post</t>
  </si>
  <si>
    <t xml:space="preserve">Pack opening #9</t>
  </si>
  <si>
    <t xml:space="preserve">Already filmed/edited - ready to publish</t>
  </si>
  <si>
    <t xml:space="preserve">Pack opening #10</t>
  </si>
  <si>
    <t xml:space="preserve">Pack opening #11</t>
  </si>
  <si>
    <t xml:space="preserve">Home edit batch</t>
  </si>
  <si>
    <t xml:space="preserve">Pack opening #12 (home, CapCut)</t>
  </si>
  <si>
    <t xml:space="preserve">Film/edit one standard pack-opening video at home</t>
  </si>
  <si>
    <t xml:space="preserve">Pack opening #13 (home, CapCut)</t>
  </si>
  <si>
    <t xml:space="preserve">Pack opening #14 (home, CapCut)</t>
  </si>
  <si>
    <t xml:space="preserve">Recurring bit</t>
  </si>
  <si>
    <t xml:space="preserve">"Fake pack" gag - continued</t>
  </si>
  <si>
    <t xml:space="preserve">Continue the recurring fake-pack prank format</t>
  </si>
  <si>
    <t xml:space="preserve">Competitive format</t>
  </si>
  <si>
    <t xml:space="preserve">Pack-opening duel</t>
  </si>
  <si>
    <t xml:space="preserve">Head-to-head pack opening vs. a friend/creator - who pulls the better player</t>
  </si>
  <si>
    <t xml:space="preserve">Star player</t>
  </si>
  <si>
    <t xml:space="preserve">Messi-themed pack opening</t>
  </si>
  <si>
    <t xml:space="preserve">Already filmed - pack opening framed entirely around pulling a Messi card</t>
  </si>
  <si>
    <t xml:space="preserve">Live reaction</t>
  </si>
  <si>
    <t xml:space="preserve">Pack opening 1/2 - during France match</t>
  </si>
  <si>
    <t xml:space="preserve">Open a pack live during a France match for timely reaction content</t>
  </si>
  <si>
    <t xml:space="preserve">20 min (match-timed)</t>
  </si>
  <si>
    <t xml:space="preserve">Pack opening 2/2 - during France match</t>
  </si>
  <si>
    <t xml:space="preserve">Open a second pack live during the same France match</t>
  </si>
  <si>
    <t xml:space="preserve">Pack opening 1/2 - during Scotland-Morocco match</t>
  </si>
  <si>
    <t xml:space="preserve">Open a pack live during the Scotland-Morocco match</t>
  </si>
  <si>
    <t xml:space="preserve">Pack opening 2/2 - during Scotland-Morocco match</t>
  </si>
  <si>
    <t xml:space="preserve">Open a second pack live during the Scotland-Morocco match</t>
  </si>
  <si>
    <t xml:space="preserve">Travel/location</t>
  </si>
  <si>
    <t xml:space="preserve">Pack opening - on the Eurostar</t>
  </si>
  <si>
    <t xml:space="preserve">Pack opening filmed on the Eurostar - travel/community angle</t>
  </si>
  <si>
    <t xml:space="preserve">Pack opening - in London</t>
  </si>
  <si>
    <t xml:space="preserve">Pack opening filmed in London</t>
  </si>
  <si>
    <t xml:space="preserve">Pack opening - hotel room or community meetup</t>
  </si>
  <si>
    <t xml:space="preserve">Pack opening filmed in a hotel room or at a community meetup</t>
  </si>
  <si>
    <t xml:space="preserve">Swappanini - Video Content Brainstorm: Executive Summary</t>
  </si>
  <si>
    <t xml:space="preserve">Key Stats</t>
  </si>
  <si>
    <t xml:space="preserve">Total ideas logged</t>
  </si>
  <si>
    <t xml:space="preserve">Average Priority Score (/10)</t>
  </si>
  <si>
    <t xml:space="preserve">Ideas ready to post NOW (no filming needed)</t>
  </si>
  <si>
    <t xml:space="preserve">Ideas requiring face cam</t>
  </si>
  <si>
    <t xml:space="preserve">Quick wins (Priority &gt;=9 AND Complexity =1)</t>
  </si>
  <si>
    <t xml:space="preserve">Breakdown by Theme</t>
  </si>
  <si>
    <t xml:space="preserve"># Ideas</t>
  </si>
  <si>
    <t xml:space="preserve">Avg Priority</t>
  </si>
  <si>
    <t xml:space="preserve">Avg Complexity</t>
  </si>
  <si>
    <t xml:space="preserve">Quick Wins - Publish First (Priority &gt;=9, Complexity =1)</t>
  </si>
  <si>
    <t xml:space="preserve">Priority</t>
  </si>
  <si>
    <t xml:space="preserve">Complexity</t>
  </si>
  <si>
    <t xml:space="preserve">Face Cam</t>
  </si>
  <si>
    <t xml:space="preserve">Big Bets - High Impact, Higher Effort (Flagship Content)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</si>
</sst>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B3B1A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B1A"/>
        <bgColor rgb="FF333300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FDE7"/>
      </patternFill>
    </fill>
    <fill>
      <patternFill patternType="solid">
        <fgColor rgb="FFFCE4EC"/>
        <bgColor rgb="FFEDE7F6"/>
      </patternFill>
    </fill>
    <fill>
      <patternFill patternType="solid">
        <fgColor rgb="FFEDE7F6"/>
        <bgColor rgb="FFFCE4EC"/>
      </patternFill>
    </fill>
    <fill>
      <patternFill patternType="solid">
        <fgColor rgb="FFFFFDE7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B3B1A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CAA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3F2FD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3E0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3B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4"/>
    <col collapsed="false" customWidth="true" hidden="false" outlineLevel="0" max="4" min="4" style="0" width="36"/>
    <col collapsed="false" customWidth="true" hidden="false" outlineLevel="0" max="5" min="5" style="0" width="60"/>
    <col collapsed="false" customWidth="true" hidden="false" outlineLevel="0" max="9" min="6" style="0" width="10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6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48" hidden="false" customHeight="true" outlineLevel="0" collapsed="false">
      <c r="A2" s="2" t="n">
        <v>1</v>
      </c>
      <c r="B2" s="3" t="s">
        <v>11</v>
      </c>
      <c r="C2" s="3" t="s">
        <v>12</v>
      </c>
      <c r="D2" s="4" t="s">
        <v>13</v>
      </c>
      <c r="E2" s="4" t="s">
        <v>14</v>
      </c>
      <c r="F2" s="2" t="n">
        <v>5</v>
      </c>
      <c r="G2" s="2" t="n">
        <v>2</v>
      </c>
      <c r="H2" s="2" t="n">
        <f aca="false">F2+G2</f>
        <v>7</v>
      </c>
      <c r="I2" s="2" t="n">
        <v>3</v>
      </c>
      <c r="J2" s="3" t="s">
        <v>15</v>
      </c>
      <c r="K2" s="3" t="s">
        <v>16</v>
      </c>
    </row>
    <row r="3" customFormat="false" ht="48" hidden="false" customHeight="true" outlineLevel="0" collapsed="false">
      <c r="A3" s="2" t="n">
        <v>2</v>
      </c>
      <c r="B3" s="3" t="s">
        <v>11</v>
      </c>
      <c r="C3" s="3" t="s">
        <v>17</v>
      </c>
      <c r="D3" s="4" t="s">
        <v>18</v>
      </c>
      <c r="E3" s="4" t="s">
        <v>19</v>
      </c>
      <c r="F3" s="2" t="n">
        <v>5</v>
      </c>
      <c r="G3" s="2" t="n">
        <v>3</v>
      </c>
      <c r="H3" s="2" t="n">
        <f aca="false">F3+G3</f>
        <v>8</v>
      </c>
      <c r="I3" s="2" t="n">
        <v>3</v>
      </c>
      <c r="J3" s="3" t="s">
        <v>15</v>
      </c>
      <c r="K3" s="3" t="s">
        <v>20</v>
      </c>
    </row>
    <row r="4" customFormat="false" ht="48" hidden="false" customHeight="true" outlineLevel="0" collapsed="false">
      <c r="A4" s="5" t="n">
        <v>3</v>
      </c>
      <c r="B4" s="6" t="s">
        <v>21</v>
      </c>
      <c r="C4" s="6" t="s">
        <v>22</v>
      </c>
      <c r="D4" s="7" t="s">
        <v>23</v>
      </c>
      <c r="E4" s="7" t="s">
        <v>24</v>
      </c>
      <c r="F4" s="5" t="n">
        <v>5</v>
      </c>
      <c r="G4" s="5" t="n">
        <v>4</v>
      </c>
      <c r="H4" s="5" t="n">
        <f aca="false">F4+G4</f>
        <v>9</v>
      </c>
      <c r="I4" s="5" t="n">
        <v>1</v>
      </c>
      <c r="J4" s="6" t="s">
        <v>25</v>
      </c>
      <c r="K4" s="6" t="s">
        <v>16</v>
      </c>
    </row>
    <row r="5" customFormat="false" ht="48" hidden="false" customHeight="true" outlineLevel="0" collapsed="false">
      <c r="A5" s="5" t="n">
        <v>4</v>
      </c>
      <c r="B5" s="6" t="s">
        <v>21</v>
      </c>
      <c r="C5" s="6" t="s">
        <v>26</v>
      </c>
      <c r="D5" s="7" t="s">
        <v>27</v>
      </c>
      <c r="E5" s="7" t="s">
        <v>28</v>
      </c>
      <c r="F5" s="5" t="n">
        <v>3</v>
      </c>
      <c r="G5" s="5" t="n">
        <v>5</v>
      </c>
      <c r="H5" s="5" t="n">
        <f aca="false">F5+G5</f>
        <v>8</v>
      </c>
      <c r="I5" s="5" t="n">
        <v>1</v>
      </c>
      <c r="J5" s="6" t="s">
        <v>29</v>
      </c>
      <c r="K5" s="6" t="s">
        <v>30</v>
      </c>
    </row>
    <row r="6" customFormat="false" ht="48" hidden="false" customHeight="true" outlineLevel="0" collapsed="false">
      <c r="A6" s="5" t="n">
        <v>5</v>
      </c>
      <c r="B6" s="6" t="s">
        <v>21</v>
      </c>
      <c r="C6" s="6" t="s">
        <v>26</v>
      </c>
      <c r="D6" s="7" t="s">
        <v>31</v>
      </c>
      <c r="E6" s="7" t="s">
        <v>32</v>
      </c>
      <c r="F6" s="5" t="n">
        <v>3</v>
      </c>
      <c r="G6" s="5" t="n">
        <v>4</v>
      </c>
      <c r="H6" s="5" t="n">
        <f aca="false">F6+G6</f>
        <v>7</v>
      </c>
      <c r="I6" s="5" t="n">
        <v>2</v>
      </c>
      <c r="J6" s="6" t="s">
        <v>25</v>
      </c>
      <c r="K6" s="6" t="s">
        <v>20</v>
      </c>
    </row>
    <row r="7" customFormat="false" ht="48" hidden="false" customHeight="true" outlineLevel="0" collapsed="false">
      <c r="A7" s="5" t="n">
        <v>6</v>
      </c>
      <c r="B7" s="6" t="s">
        <v>21</v>
      </c>
      <c r="C7" s="6" t="s">
        <v>33</v>
      </c>
      <c r="D7" s="7" t="s">
        <v>34</v>
      </c>
      <c r="E7" s="7" t="s">
        <v>35</v>
      </c>
      <c r="F7" s="5" t="n">
        <v>4</v>
      </c>
      <c r="G7" s="5" t="n">
        <v>2</v>
      </c>
      <c r="H7" s="5" t="n">
        <f aca="false">F7+G7</f>
        <v>6</v>
      </c>
      <c r="I7" s="5" t="n">
        <v>1</v>
      </c>
      <c r="J7" s="6" t="s">
        <v>25</v>
      </c>
      <c r="K7" s="6" t="s">
        <v>20</v>
      </c>
    </row>
    <row r="8" customFormat="false" ht="48" hidden="false" customHeight="true" outlineLevel="0" collapsed="false">
      <c r="A8" s="5" t="n">
        <v>7</v>
      </c>
      <c r="B8" s="6" t="s">
        <v>21</v>
      </c>
      <c r="C8" s="6" t="s">
        <v>36</v>
      </c>
      <c r="D8" s="7" t="s">
        <v>37</v>
      </c>
      <c r="E8" s="7" t="s">
        <v>38</v>
      </c>
      <c r="F8" s="5" t="n">
        <v>3</v>
      </c>
      <c r="G8" s="5" t="n">
        <v>5</v>
      </c>
      <c r="H8" s="5" t="n">
        <f aca="false">F8+G8</f>
        <v>8</v>
      </c>
      <c r="I8" s="5" t="n">
        <v>1</v>
      </c>
      <c r="J8" s="6" t="s">
        <v>39</v>
      </c>
      <c r="K8" s="6" t="s">
        <v>16</v>
      </c>
    </row>
    <row r="9" customFormat="false" ht="48" hidden="false" customHeight="true" outlineLevel="0" collapsed="false">
      <c r="A9" s="5" t="n">
        <v>8</v>
      </c>
      <c r="B9" s="6" t="s">
        <v>21</v>
      </c>
      <c r="C9" s="6" t="s">
        <v>40</v>
      </c>
      <c r="D9" s="7" t="s">
        <v>41</v>
      </c>
      <c r="E9" s="7" t="s">
        <v>42</v>
      </c>
      <c r="F9" s="5" t="n">
        <v>5</v>
      </c>
      <c r="G9" s="5" t="n">
        <v>4</v>
      </c>
      <c r="H9" s="5" t="n">
        <f aca="false">F9+G9</f>
        <v>9</v>
      </c>
      <c r="I9" s="5" t="n">
        <v>1</v>
      </c>
      <c r="J9" s="6" t="s">
        <v>29</v>
      </c>
      <c r="K9" s="6" t="s">
        <v>16</v>
      </c>
    </row>
    <row r="10" customFormat="false" ht="48" hidden="false" customHeight="true" outlineLevel="0" collapsed="false">
      <c r="A10" s="5" t="n">
        <v>9</v>
      </c>
      <c r="B10" s="6" t="s">
        <v>21</v>
      </c>
      <c r="C10" s="6" t="s">
        <v>40</v>
      </c>
      <c r="D10" s="7" t="s">
        <v>43</v>
      </c>
      <c r="E10" s="7" t="s">
        <v>44</v>
      </c>
      <c r="F10" s="5" t="n">
        <v>5</v>
      </c>
      <c r="G10" s="5" t="n">
        <v>4</v>
      </c>
      <c r="H10" s="5" t="n">
        <f aca="false">F10+G10</f>
        <v>9</v>
      </c>
      <c r="I10" s="5" t="n">
        <v>1</v>
      </c>
      <c r="J10" s="6" t="s">
        <v>29</v>
      </c>
      <c r="K10" s="6" t="s">
        <v>16</v>
      </c>
    </row>
    <row r="11" customFormat="false" ht="48" hidden="false" customHeight="true" outlineLevel="0" collapsed="false">
      <c r="A11" s="5" t="n">
        <v>10</v>
      </c>
      <c r="B11" s="6" t="s">
        <v>21</v>
      </c>
      <c r="C11" s="6" t="s">
        <v>40</v>
      </c>
      <c r="D11" s="7" t="s">
        <v>45</v>
      </c>
      <c r="E11" s="7" t="s">
        <v>46</v>
      </c>
      <c r="F11" s="5" t="n">
        <v>5</v>
      </c>
      <c r="G11" s="5" t="n">
        <v>4</v>
      </c>
      <c r="H11" s="5" t="n">
        <f aca="false">F11+G11</f>
        <v>9</v>
      </c>
      <c r="I11" s="5" t="n">
        <v>1</v>
      </c>
      <c r="J11" s="6" t="s">
        <v>29</v>
      </c>
      <c r="K11" s="6" t="s">
        <v>16</v>
      </c>
    </row>
    <row r="12" customFormat="false" ht="48" hidden="false" customHeight="true" outlineLevel="0" collapsed="false">
      <c r="A12" s="5" t="n">
        <v>11</v>
      </c>
      <c r="B12" s="6" t="s">
        <v>21</v>
      </c>
      <c r="C12" s="6" t="s">
        <v>40</v>
      </c>
      <c r="D12" s="7" t="s">
        <v>47</v>
      </c>
      <c r="E12" s="7" t="s">
        <v>48</v>
      </c>
      <c r="F12" s="5" t="n">
        <v>5</v>
      </c>
      <c r="G12" s="5" t="n">
        <v>4</v>
      </c>
      <c r="H12" s="5" t="n">
        <f aca="false">F12+G12</f>
        <v>9</v>
      </c>
      <c r="I12" s="5" t="n">
        <v>1</v>
      </c>
      <c r="J12" s="6" t="s">
        <v>29</v>
      </c>
      <c r="K12" s="6" t="s">
        <v>16</v>
      </c>
    </row>
    <row r="13" customFormat="false" ht="48" hidden="false" customHeight="true" outlineLevel="0" collapsed="false">
      <c r="A13" s="5" t="n">
        <v>12</v>
      </c>
      <c r="B13" s="6" t="s">
        <v>21</v>
      </c>
      <c r="C13" s="6" t="s">
        <v>40</v>
      </c>
      <c r="D13" s="7" t="s">
        <v>49</v>
      </c>
      <c r="E13" s="7" t="s">
        <v>50</v>
      </c>
      <c r="F13" s="5" t="n">
        <v>5</v>
      </c>
      <c r="G13" s="5" t="n">
        <v>4</v>
      </c>
      <c r="H13" s="5" t="n">
        <f aca="false">F13+G13</f>
        <v>9</v>
      </c>
      <c r="I13" s="5" t="n">
        <v>1</v>
      </c>
      <c r="J13" s="6" t="s">
        <v>29</v>
      </c>
      <c r="K13" s="6" t="s">
        <v>16</v>
      </c>
    </row>
    <row r="14" customFormat="false" ht="48" hidden="false" customHeight="true" outlineLevel="0" collapsed="false">
      <c r="A14" s="5" t="n">
        <v>13</v>
      </c>
      <c r="B14" s="6" t="s">
        <v>21</v>
      </c>
      <c r="C14" s="6" t="s">
        <v>40</v>
      </c>
      <c r="D14" s="7" t="s">
        <v>51</v>
      </c>
      <c r="E14" s="7" t="s">
        <v>52</v>
      </c>
      <c r="F14" s="5" t="n">
        <v>5</v>
      </c>
      <c r="G14" s="5" t="n">
        <v>4</v>
      </c>
      <c r="H14" s="5" t="n">
        <f aca="false">F14+G14</f>
        <v>9</v>
      </c>
      <c r="I14" s="5" t="n">
        <v>1</v>
      </c>
      <c r="J14" s="6" t="s">
        <v>29</v>
      </c>
      <c r="K14" s="6" t="s">
        <v>16</v>
      </c>
    </row>
    <row r="15" customFormat="false" ht="48" hidden="false" customHeight="true" outlineLevel="0" collapsed="false">
      <c r="A15" s="5" t="n">
        <v>14</v>
      </c>
      <c r="B15" s="6" t="s">
        <v>21</v>
      </c>
      <c r="C15" s="6" t="s">
        <v>40</v>
      </c>
      <c r="D15" s="7" t="s">
        <v>53</v>
      </c>
      <c r="E15" s="7" t="s">
        <v>54</v>
      </c>
      <c r="F15" s="5" t="n">
        <v>5</v>
      </c>
      <c r="G15" s="5" t="n">
        <v>4</v>
      </c>
      <c r="H15" s="5" t="n">
        <f aca="false">F15+G15</f>
        <v>9</v>
      </c>
      <c r="I15" s="5" t="n">
        <v>1</v>
      </c>
      <c r="J15" s="6" t="s">
        <v>29</v>
      </c>
      <c r="K15" s="6" t="s">
        <v>16</v>
      </c>
    </row>
    <row r="16" customFormat="false" ht="48" hidden="false" customHeight="true" outlineLevel="0" collapsed="false">
      <c r="A16" s="5" t="n">
        <v>15</v>
      </c>
      <c r="B16" s="6" t="s">
        <v>21</v>
      </c>
      <c r="C16" s="6" t="s">
        <v>40</v>
      </c>
      <c r="D16" s="7" t="s">
        <v>55</v>
      </c>
      <c r="E16" s="7" t="s">
        <v>56</v>
      </c>
      <c r="F16" s="5" t="n">
        <v>5</v>
      </c>
      <c r="G16" s="5" t="n">
        <v>5</v>
      </c>
      <c r="H16" s="5" t="n">
        <f aca="false">F16+G16</f>
        <v>10</v>
      </c>
      <c r="I16" s="5" t="n">
        <v>2</v>
      </c>
      <c r="J16" s="6" t="s">
        <v>57</v>
      </c>
      <c r="K16" s="6" t="s">
        <v>16</v>
      </c>
    </row>
    <row r="17" customFormat="false" ht="48" hidden="false" customHeight="true" outlineLevel="0" collapsed="false">
      <c r="A17" s="5" t="n">
        <v>16</v>
      </c>
      <c r="B17" s="6" t="s">
        <v>21</v>
      </c>
      <c r="C17" s="6" t="s">
        <v>58</v>
      </c>
      <c r="D17" s="7" t="s">
        <v>59</v>
      </c>
      <c r="E17" s="7" t="s">
        <v>60</v>
      </c>
      <c r="F17" s="5" t="n">
        <v>4</v>
      </c>
      <c r="G17" s="5" t="n">
        <v>4</v>
      </c>
      <c r="H17" s="5" t="n">
        <f aca="false">F17+G17</f>
        <v>8</v>
      </c>
      <c r="I17" s="5" t="n">
        <v>3</v>
      </c>
      <c r="J17" s="6" t="s">
        <v>15</v>
      </c>
      <c r="K17" s="6" t="s">
        <v>16</v>
      </c>
    </row>
    <row r="18" customFormat="false" ht="48" hidden="false" customHeight="true" outlineLevel="0" collapsed="false">
      <c r="A18" s="5" t="n">
        <v>17</v>
      </c>
      <c r="B18" s="6" t="s">
        <v>21</v>
      </c>
      <c r="C18" s="6" t="s">
        <v>61</v>
      </c>
      <c r="D18" s="7" t="s">
        <v>62</v>
      </c>
      <c r="E18" s="7" t="s">
        <v>63</v>
      </c>
      <c r="F18" s="5" t="n">
        <v>3</v>
      </c>
      <c r="G18" s="5" t="n">
        <v>5</v>
      </c>
      <c r="H18" s="5" t="n">
        <f aca="false">F18+G18</f>
        <v>8</v>
      </c>
      <c r="I18" s="5" t="n">
        <v>1</v>
      </c>
      <c r="J18" s="6" t="s">
        <v>25</v>
      </c>
      <c r="K18" s="6" t="s">
        <v>20</v>
      </c>
    </row>
    <row r="19" customFormat="false" ht="48" hidden="false" customHeight="true" outlineLevel="0" collapsed="false">
      <c r="A19" s="5" t="n">
        <v>18</v>
      </c>
      <c r="B19" s="6" t="s">
        <v>21</v>
      </c>
      <c r="C19" s="6" t="s">
        <v>61</v>
      </c>
      <c r="D19" s="7" t="s">
        <v>64</v>
      </c>
      <c r="E19" s="7" t="s">
        <v>65</v>
      </c>
      <c r="F19" s="5" t="n">
        <v>3</v>
      </c>
      <c r="G19" s="5" t="n">
        <v>5</v>
      </c>
      <c r="H19" s="5" t="n">
        <f aca="false">F19+G19</f>
        <v>8</v>
      </c>
      <c r="I19" s="5" t="n">
        <v>1</v>
      </c>
      <c r="J19" s="6" t="s">
        <v>25</v>
      </c>
      <c r="K19" s="6" t="s">
        <v>20</v>
      </c>
    </row>
    <row r="20" customFormat="false" ht="48" hidden="false" customHeight="true" outlineLevel="0" collapsed="false">
      <c r="A20" s="5" t="n">
        <v>19</v>
      </c>
      <c r="B20" s="6" t="s">
        <v>21</v>
      </c>
      <c r="C20" s="6" t="s">
        <v>61</v>
      </c>
      <c r="D20" s="7" t="s">
        <v>66</v>
      </c>
      <c r="E20" s="7" t="s">
        <v>67</v>
      </c>
      <c r="F20" s="5" t="n">
        <v>3</v>
      </c>
      <c r="G20" s="5" t="n">
        <v>4</v>
      </c>
      <c r="H20" s="5" t="n">
        <f aca="false">F20+G20</f>
        <v>7</v>
      </c>
      <c r="I20" s="5" t="n">
        <v>1</v>
      </c>
      <c r="J20" s="6" t="s">
        <v>25</v>
      </c>
      <c r="K20" s="6" t="s">
        <v>20</v>
      </c>
    </row>
    <row r="21" customFormat="false" ht="48" hidden="false" customHeight="true" outlineLevel="0" collapsed="false">
      <c r="A21" s="5" t="n">
        <v>20</v>
      </c>
      <c r="B21" s="6" t="s">
        <v>21</v>
      </c>
      <c r="C21" s="6" t="s">
        <v>61</v>
      </c>
      <c r="D21" s="7" t="s">
        <v>68</v>
      </c>
      <c r="E21" s="7" t="s">
        <v>69</v>
      </c>
      <c r="F21" s="5" t="n">
        <v>3</v>
      </c>
      <c r="G21" s="5" t="n">
        <v>5</v>
      </c>
      <c r="H21" s="5" t="n">
        <f aca="false">F21+G21</f>
        <v>8</v>
      </c>
      <c r="I21" s="5" t="n">
        <v>1</v>
      </c>
      <c r="J21" s="6" t="s">
        <v>25</v>
      </c>
      <c r="K21" s="6" t="s">
        <v>20</v>
      </c>
    </row>
    <row r="22" customFormat="false" ht="48" hidden="false" customHeight="true" outlineLevel="0" collapsed="false">
      <c r="A22" s="5" t="n">
        <v>21</v>
      </c>
      <c r="B22" s="6" t="s">
        <v>21</v>
      </c>
      <c r="C22" s="6" t="s">
        <v>61</v>
      </c>
      <c r="D22" s="7" t="s">
        <v>70</v>
      </c>
      <c r="E22" s="7" t="s">
        <v>71</v>
      </c>
      <c r="F22" s="5" t="n">
        <v>3</v>
      </c>
      <c r="G22" s="5" t="n">
        <v>5</v>
      </c>
      <c r="H22" s="5" t="n">
        <f aca="false">F22+G22</f>
        <v>8</v>
      </c>
      <c r="I22" s="5" t="n">
        <v>1</v>
      </c>
      <c r="J22" s="6" t="s">
        <v>25</v>
      </c>
      <c r="K22" s="6" t="s">
        <v>20</v>
      </c>
    </row>
    <row r="23" customFormat="false" ht="48" hidden="false" customHeight="true" outlineLevel="0" collapsed="false">
      <c r="A23" s="5" t="n">
        <v>22</v>
      </c>
      <c r="B23" s="6" t="s">
        <v>21</v>
      </c>
      <c r="C23" s="6" t="s">
        <v>61</v>
      </c>
      <c r="D23" s="7" t="s">
        <v>72</v>
      </c>
      <c r="E23" s="7" t="s">
        <v>73</v>
      </c>
      <c r="F23" s="5" t="n">
        <v>3</v>
      </c>
      <c r="G23" s="5" t="n">
        <v>4</v>
      </c>
      <c r="H23" s="5" t="n">
        <f aca="false">F23+G23</f>
        <v>7</v>
      </c>
      <c r="I23" s="5" t="n">
        <v>1</v>
      </c>
      <c r="J23" s="6" t="s">
        <v>25</v>
      </c>
      <c r="K23" s="6" t="s">
        <v>20</v>
      </c>
    </row>
    <row r="24" customFormat="false" ht="48" hidden="false" customHeight="true" outlineLevel="0" collapsed="false">
      <c r="A24" s="5" t="n">
        <v>23</v>
      </c>
      <c r="B24" s="6" t="s">
        <v>21</v>
      </c>
      <c r="C24" s="6" t="s">
        <v>61</v>
      </c>
      <c r="D24" s="7" t="s">
        <v>74</v>
      </c>
      <c r="E24" s="7" t="s">
        <v>75</v>
      </c>
      <c r="F24" s="5" t="n">
        <v>3</v>
      </c>
      <c r="G24" s="5" t="n">
        <v>5</v>
      </c>
      <c r="H24" s="5" t="n">
        <f aca="false">F24+G24</f>
        <v>8</v>
      </c>
      <c r="I24" s="5" t="n">
        <v>1</v>
      </c>
      <c r="J24" s="6" t="s">
        <v>25</v>
      </c>
      <c r="K24" s="6" t="s">
        <v>20</v>
      </c>
    </row>
    <row r="25" customFormat="false" ht="48" hidden="false" customHeight="true" outlineLevel="0" collapsed="false">
      <c r="A25" s="5" t="n">
        <v>24</v>
      </c>
      <c r="B25" s="6" t="s">
        <v>21</v>
      </c>
      <c r="C25" s="6" t="s">
        <v>61</v>
      </c>
      <c r="D25" s="7" t="s">
        <v>76</v>
      </c>
      <c r="E25" s="7" t="s">
        <v>77</v>
      </c>
      <c r="F25" s="5" t="n">
        <v>3</v>
      </c>
      <c r="G25" s="5" t="n">
        <v>4</v>
      </c>
      <c r="H25" s="5" t="n">
        <f aca="false">F25+G25</f>
        <v>7</v>
      </c>
      <c r="I25" s="5" t="n">
        <v>1</v>
      </c>
      <c r="J25" s="6" t="s">
        <v>25</v>
      </c>
      <c r="K25" s="6" t="s">
        <v>20</v>
      </c>
    </row>
    <row r="26" customFormat="false" ht="48" hidden="false" customHeight="true" outlineLevel="0" collapsed="false">
      <c r="A26" s="8" t="n">
        <v>25</v>
      </c>
      <c r="B26" s="9" t="s">
        <v>78</v>
      </c>
      <c r="C26" s="9" t="s">
        <v>79</v>
      </c>
      <c r="D26" s="10" t="s">
        <v>80</v>
      </c>
      <c r="E26" s="10" t="s">
        <v>81</v>
      </c>
      <c r="F26" s="8" t="n">
        <v>4</v>
      </c>
      <c r="G26" s="8" t="n">
        <v>5</v>
      </c>
      <c r="H26" s="8" t="n">
        <f aca="false">F26+G26</f>
        <v>9</v>
      </c>
      <c r="I26" s="8" t="n">
        <v>1</v>
      </c>
      <c r="J26" s="9" t="s">
        <v>25</v>
      </c>
      <c r="K26" s="9" t="s">
        <v>20</v>
      </c>
    </row>
    <row r="27" customFormat="false" ht="48" hidden="false" customHeight="true" outlineLevel="0" collapsed="false">
      <c r="A27" s="8" t="n">
        <v>26</v>
      </c>
      <c r="B27" s="9" t="s">
        <v>78</v>
      </c>
      <c r="C27" s="9" t="s">
        <v>79</v>
      </c>
      <c r="D27" s="10" t="s">
        <v>82</v>
      </c>
      <c r="E27" s="10" t="s">
        <v>83</v>
      </c>
      <c r="F27" s="8" t="n">
        <v>4</v>
      </c>
      <c r="G27" s="8" t="n">
        <v>5</v>
      </c>
      <c r="H27" s="8" t="n">
        <f aca="false">F27+G27</f>
        <v>9</v>
      </c>
      <c r="I27" s="8" t="n">
        <v>1</v>
      </c>
      <c r="J27" s="9" t="s">
        <v>25</v>
      </c>
      <c r="K27" s="9" t="s">
        <v>20</v>
      </c>
    </row>
    <row r="28" customFormat="false" ht="48" hidden="false" customHeight="true" outlineLevel="0" collapsed="false">
      <c r="A28" s="8" t="n">
        <v>27</v>
      </c>
      <c r="B28" s="9" t="s">
        <v>78</v>
      </c>
      <c r="C28" s="9" t="s">
        <v>79</v>
      </c>
      <c r="D28" s="10" t="s">
        <v>84</v>
      </c>
      <c r="E28" s="10" t="s">
        <v>81</v>
      </c>
      <c r="F28" s="8" t="n">
        <v>4</v>
      </c>
      <c r="G28" s="8" t="n">
        <v>4</v>
      </c>
      <c r="H28" s="8" t="n">
        <f aca="false">F28+G28</f>
        <v>8</v>
      </c>
      <c r="I28" s="8" t="n">
        <v>1</v>
      </c>
      <c r="J28" s="9" t="s">
        <v>25</v>
      </c>
      <c r="K28" s="9" t="s">
        <v>20</v>
      </c>
    </row>
    <row r="29" customFormat="false" ht="48" hidden="false" customHeight="true" outlineLevel="0" collapsed="false">
      <c r="A29" s="8" t="n">
        <v>28</v>
      </c>
      <c r="B29" s="9" t="s">
        <v>78</v>
      </c>
      <c r="C29" s="9" t="s">
        <v>79</v>
      </c>
      <c r="D29" s="10" t="s">
        <v>85</v>
      </c>
      <c r="E29" s="10" t="s">
        <v>81</v>
      </c>
      <c r="F29" s="8" t="n">
        <v>4</v>
      </c>
      <c r="G29" s="8" t="n">
        <v>4</v>
      </c>
      <c r="H29" s="8" t="n">
        <f aca="false">F29+G29</f>
        <v>8</v>
      </c>
      <c r="I29" s="8" t="n">
        <v>1</v>
      </c>
      <c r="J29" s="9" t="s">
        <v>25</v>
      </c>
      <c r="K29" s="9" t="s">
        <v>20</v>
      </c>
    </row>
    <row r="30" customFormat="false" ht="48" hidden="false" customHeight="true" outlineLevel="0" collapsed="false">
      <c r="A30" s="8" t="n">
        <v>29</v>
      </c>
      <c r="B30" s="9" t="s">
        <v>78</v>
      </c>
      <c r="C30" s="9" t="s">
        <v>79</v>
      </c>
      <c r="D30" s="10" t="s">
        <v>86</v>
      </c>
      <c r="E30" s="10" t="s">
        <v>81</v>
      </c>
      <c r="F30" s="8" t="n">
        <v>4</v>
      </c>
      <c r="G30" s="8" t="n">
        <v>3</v>
      </c>
      <c r="H30" s="8" t="n">
        <f aca="false">F30+G30</f>
        <v>7</v>
      </c>
      <c r="I30" s="8" t="n">
        <v>1</v>
      </c>
      <c r="J30" s="9" t="s">
        <v>25</v>
      </c>
      <c r="K30" s="9" t="s">
        <v>20</v>
      </c>
    </row>
    <row r="31" customFormat="false" ht="48" hidden="false" customHeight="true" outlineLevel="0" collapsed="false">
      <c r="A31" s="8" t="n">
        <v>30</v>
      </c>
      <c r="B31" s="9" t="s">
        <v>78</v>
      </c>
      <c r="C31" s="9" t="s">
        <v>79</v>
      </c>
      <c r="D31" s="10" t="s">
        <v>87</v>
      </c>
      <c r="E31" s="10" t="s">
        <v>81</v>
      </c>
      <c r="F31" s="8" t="n">
        <v>4</v>
      </c>
      <c r="G31" s="8" t="n">
        <v>3</v>
      </c>
      <c r="H31" s="8" t="n">
        <f aca="false">F31+G31</f>
        <v>7</v>
      </c>
      <c r="I31" s="8" t="n">
        <v>1</v>
      </c>
      <c r="J31" s="9" t="s">
        <v>25</v>
      </c>
      <c r="K31" s="9" t="s">
        <v>20</v>
      </c>
    </row>
    <row r="32" customFormat="false" ht="48" hidden="false" customHeight="true" outlineLevel="0" collapsed="false">
      <c r="A32" s="8" t="n">
        <v>31</v>
      </c>
      <c r="B32" s="9" t="s">
        <v>78</v>
      </c>
      <c r="C32" s="9" t="s">
        <v>79</v>
      </c>
      <c r="D32" s="10" t="s">
        <v>88</v>
      </c>
      <c r="E32" s="10" t="s">
        <v>81</v>
      </c>
      <c r="F32" s="8" t="n">
        <v>4</v>
      </c>
      <c r="G32" s="8" t="n">
        <v>3</v>
      </c>
      <c r="H32" s="8" t="n">
        <f aca="false">F32+G32</f>
        <v>7</v>
      </c>
      <c r="I32" s="8" t="n">
        <v>1</v>
      </c>
      <c r="J32" s="9" t="s">
        <v>25</v>
      </c>
      <c r="K32" s="9" t="s">
        <v>20</v>
      </c>
    </row>
    <row r="33" customFormat="false" ht="48" hidden="false" customHeight="true" outlineLevel="0" collapsed="false">
      <c r="A33" s="8" t="n">
        <v>32</v>
      </c>
      <c r="B33" s="9" t="s">
        <v>78</v>
      </c>
      <c r="C33" s="9" t="s">
        <v>79</v>
      </c>
      <c r="D33" s="10" t="s">
        <v>89</v>
      </c>
      <c r="E33" s="10" t="s">
        <v>90</v>
      </c>
      <c r="F33" s="8" t="n">
        <v>4</v>
      </c>
      <c r="G33" s="8" t="n">
        <v>3</v>
      </c>
      <c r="H33" s="8" t="n">
        <f aca="false">F33+G33</f>
        <v>7</v>
      </c>
      <c r="I33" s="8" t="n">
        <v>1</v>
      </c>
      <c r="J33" s="9" t="s">
        <v>25</v>
      </c>
      <c r="K33" s="9" t="s">
        <v>20</v>
      </c>
    </row>
    <row r="34" customFormat="false" ht="48" hidden="false" customHeight="true" outlineLevel="0" collapsed="false">
      <c r="A34" s="8" t="n">
        <v>33</v>
      </c>
      <c r="B34" s="9" t="s">
        <v>78</v>
      </c>
      <c r="C34" s="9" t="s">
        <v>79</v>
      </c>
      <c r="D34" s="10" t="s">
        <v>91</v>
      </c>
      <c r="E34" s="10" t="s">
        <v>92</v>
      </c>
      <c r="F34" s="8" t="n">
        <v>4</v>
      </c>
      <c r="G34" s="8" t="n">
        <v>2</v>
      </c>
      <c r="H34" s="8" t="n">
        <f aca="false">F34+G34</f>
        <v>6</v>
      </c>
      <c r="I34" s="8" t="n">
        <v>1</v>
      </c>
      <c r="J34" s="9" t="s">
        <v>25</v>
      </c>
      <c r="K34" s="9" t="s">
        <v>20</v>
      </c>
    </row>
    <row r="35" customFormat="false" ht="48" hidden="false" customHeight="true" outlineLevel="0" collapsed="false">
      <c r="A35" s="8" t="n">
        <v>34</v>
      </c>
      <c r="B35" s="9" t="s">
        <v>78</v>
      </c>
      <c r="C35" s="9" t="s">
        <v>79</v>
      </c>
      <c r="D35" s="10" t="s">
        <v>93</v>
      </c>
      <c r="E35" s="10" t="s">
        <v>81</v>
      </c>
      <c r="F35" s="8" t="n">
        <v>4</v>
      </c>
      <c r="G35" s="8" t="n">
        <v>2</v>
      </c>
      <c r="H35" s="8" t="n">
        <f aca="false">F35+G35</f>
        <v>6</v>
      </c>
      <c r="I35" s="8" t="n">
        <v>1</v>
      </c>
      <c r="J35" s="9" t="s">
        <v>25</v>
      </c>
      <c r="K35" s="9" t="s">
        <v>20</v>
      </c>
    </row>
    <row r="36" customFormat="false" ht="48" hidden="false" customHeight="true" outlineLevel="0" collapsed="false">
      <c r="A36" s="8" t="n">
        <v>35</v>
      </c>
      <c r="B36" s="9" t="s">
        <v>78</v>
      </c>
      <c r="C36" s="9" t="s">
        <v>79</v>
      </c>
      <c r="D36" s="10" t="s">
        <v>94</v>
      </c>
      <c r="E36" s="10" t="s">
        <v>95</v>
      </c>
      <c r="F36" s="8" t="n">
        <v>4</v>
      </c>
      <c r="G36" s="8" t="n">
        <v>2</v>
      </c>
      <c r="H36" s="8" t="n">
        <f aca="false">F36+G36</f>
        <v>6</v>
      </c>
      <c r="I36" s="8" t="n">
        <v>1</v>
      </c>
      <c r="J36" s="9" t="s">
        <v>25</v>
      </c>
      <c r="K36" s="9" t="s">
        <v>20</v>
      </c>
    </row>
    <row r="37" customFormat="false" ht="48" hidden="false" customHeight="true" outlineLevel="0" collapsed="false">
      <c r="A37" s="11" t="n">
        <v>36</v>
      </c>
      <c r="B37" s="12" t="s">
        <v>96</v>
      </c>
      <c r="C37" s="12" t="s">
        <v>97</v>
      </c>
      <c r="D37" s="13" t="s">
        <v>98</v>
      </c>
      <c r="E37" s="13" t="s">
        <v>99</v>
      </c>
      <c r="F37" s="11" t="n">
        <v>3</v>
      </c>
      <c r="G37" s="11" t="n">
        <v>5</v>
      </c>
      <c r="H37" s="11" t="n">
        <f aca="false">F37+G37</f>
        <v>8</v>
      </c>
      <c r="I37" s="11" t="n">
        <v>3</v>
      </c>
      <c r="J37" s="12" t="s">
        <v>15</v>
      </c>
      <c r="K37" s="12" t="s">
        <v>16</v>
      </c>
    </row>
    <row r="38" customFormat="false" ht="48" hidden="false" customHeight="true" outlineLevel="0" collapsed="false">
      <c r="A38" s="11" t="n">
        <v>37</v>
      </c>
      <c r="B38" s="12" t="s">
        <v>96</v>
      </c>
      <c r="C38" s="12" t="s">
        <v>97</v>
      </c>
      <c r="D38" s="13" t="s">
        <v>100</v>
      </c>
      <c r="E38" s="13" t="s">
        <v>101</v>
      </c>
      <c r="F38" s="11" t="n">
        <v>4</v>
      </c>
      <c r="G38" s="11" t="n">
        <v>4</v>
      </c>
      <c r="H38" s="11" t="n">
        <f aca="false">F38+G38</f>
        <v>8</v>
      </c>
      <c r="I38" s="11" t="n">
        <v>4</v>
      </c>
      <c r="J38" s="12" t="s">
        <v>102</v>
      </c>
      <c r="K38" s="12" t="s">
        <v>16</v>
      </c>
    </row>
    <row r="39" customFormat="false" ht="48" hidden="false" customHeight="true" outlineLevel="0" collapsed="false">
      <c r="A39" s="11" t="n">
        <v>38</v>
      </c>
      <c r="B39" s="12" t="s">
        <v>96</v>
      </c>
      <c r="C39" s="12" t="s">
        <v>103</v>
      </c>
      <c r="D39" s="13" t="s">
        <v>104</v>
      </c>
      <c r="E39" s="13" t="s">
        <v>105</v>
      </c>
      <c r="F39" s="11" t="n">
        <v>2</v>
      </c>
      <c r="G39" s="11" t="n">
        <v>5</v>
      </c>
      <c r="H39" s="11" t="n">
        <f aca="false">F39+G39</f>
        <v>7</v>
      </c>
      <c r="I39" s="11" t="n">
        <v>1</v>
      </c>
      <c r="J39" s="12" t="s">
        <v>39</v>
      </c>
      <c r="K39" s="12" t="s">
        <v>16</v>
      </c>
    </row>
    <row r="40" customFormat="false" ht="48" hidden="false" customHeight="true" outlineLevel="0" collapsed="false">
      <c r="A40" s="11" t="n">
        <v>39</v>
      </c>
      <c r="B40" s="12" t="s">
        <v>96</v>
      </c>
      <c r="C40" s="12" t="s">
        <v>106</v>
      </c>
      <c r="D40" s="13" t="s">
        <v>107</v>
      </c>
      <c r="E40" s="13" t="s">
        <v>108</v>
      </c>
      <c r="F40" s="11" t="n">
        <v>3</v>
      </c>
      <c r="G40" s="11" t="n">
        <v>5</v>
      </c>
      <c r="H40" s="11" t="n">
        <f aca="false">F40+G40</f>
        <v>8</v>
      </c>
      <c r="I40" s="11" t="n">
        <v>1</v>
      </c>
      <c r="J40" s="12" t="s">
        <v>29</v>
      </c>
      <c r="K40" s="12" t="s">
        <v>16</v>
      </c>
    </row>
    <row r="41" customFormat="false" ht="48" hidden="false" customHeight="true" outlineLevel="0" collapsed="false">
      <c r="A41" s="11" t="n">
        <v>40</v>
      </c>
      <c r="B41" s="12" t="s">
        <v>96</v>
      </c>
      <c r="C41" s="12" t="s">
        <v>103</v>
      </c>
      <c r="D41" s="13" t="s">
        <v>109</v>
      </c>
      <c r="E41" s="13" t="s">
        <v>110</v>
      </c>
      <c r="F41" s="11" t="n">
        <v>4</v>
      </c>
      <c r="G41" s="11" t="n">
        <v>5</v>
      </c>
      <c r="H41" s="11" t="n">
        <f aca="false">F41+G41</f>
        <v>9</v>
      </c>
      <c r="I41" s="11" t="n">
        <v>3</v>
      </c>
      <c r="J41" s="12" t="s">
        <v>15</v>
      </c>
      <c r="K41" s="12" t="s">
        <v>16</v>
      </c>
    </row>
    <row r="42" customFormat="false" ht="48" hidden="false" customHeight="true" outlineLevel="0" collapsed="false">
      <c r="A42" s="11" t="n">
        <v>41</v>
      </c>
      <c r="B42" s="12" t="s">
        <v>96</v>
      </c>
      <c r="C42" s="12" t="s">
        <v>111</v>
      </c>
      <c r="D42" s="13" t="s">
        <v>112</v>
      </c>
      <c r="E42" s="13" t="s">
        <v>113</v>
      </c>
      <c r="F42" s="11" t="n">
        <v>2</v>
      </c>
      <c r="G42" s="11" t="n">
        <v>4</v>
      </c>
      <c r="H42" s="11" t="n">
        <f aca="false">F42+G42</f>
        <v>6</v>
      </c>
      <c r="I42" s="11" t="n">
        <v>5</v>
      </c>
      <c r="J42" s="12" t="s">
        <v>114</v>
      </c>
      <c r="K42" s="12" t="s">
        <v>16</v>
      </c>
    </row>
    <row r="43" customFormat="false" ht="48" hidden="false" customHeight="true" outlineLevel="0" collapsed="false">
      <c r="A43" s="11" t="n">
        <v>42</v>
      </c>
      <c r="B43" s="12" t="s">
        <v>96</v>
      </c>
      <c r="C43" s="12" t="s">
        <v>115</v>
      </c>
      <c r="D43" s="13" t="s">
        <v>116</v>
      </c>
      <c r="E43" s="13" t="s">
        <v>117</v>
      </c>
      <c r="F43" s="11" t="n">
        <v>4</v>
      </c>
      <c r="G43" s="11" t="n">
        <v>5</v>
      </c>
      <c r="H43" s="11" t="n">
        <f aca="false">F43+G43</f>
        <v>9</v>
      </c>
      <c r="I43" s="11" t="n">
        <v>4</v>
      </c>
      <c r="J43" s="12" t="s">
        <v>102</v>
      </c>
      <c r="K43" s="12" t="s">
        <v>16</v>
      </c>
    </row>
    <row r="44" customFormat="false" ht="48" hidden="false" customHeight="true" outlineLevel="0" collapsed="false">
      <c r="A44" s="11" t="n">
        <v>43</v>
      </c>
      <c r="B44" s="12" t="s">
        <v>96</v>
      </c>
      <c r="C44" s="12" t="s">
        <v>115</v>
      </c>
      <c r="D44" s="13" t="s">
        <v>118</v>
      </c>
      <c r="E44" s="13" t="s">
        <v>119</v>
      </c>
      <c r="F44" s="11" t="n">
        <v>4</v>
      </c>
      <c r="G44" s="11" t="n">
        <v>4</v>
      </c>
      <c r="H44" s="11" t="n">
        <f aca="false">F44+G44</f>
        <v>8</v>
      </c>
      <c r="I44" s="11" t="n">
        <v>2</v>
      </c>
      <c r="J44" s="12" t="s">
        <v>57</v>
      </c>
      <c r="K44" s="12" t="s">
        <v>16</v>
      </c>
    </row>
    <row r="45" customFormat="false" ht="48" hidden="false" customHeight="true" outlineLevel="0" collapsed="false">
      <c r="A45" s="11" t="n">
        <v>44</v>
      </c>
      <c r="B45" s="12" t="s">
        <v>96</v>
      </c>
      <c r="C45" s="12" t="s">
        <v>115</v>
      </c>
      <c r="D45" s="13" t="s">
        <v>120</v>
      </c>
      <c r="E45" s="13" t="s">
        <v>121</v>
      </c>
      <c r="F45" s="11" t="n">
        <v>4</v>
      </c>
      <c r="G45" s="11" t="n">
        <v>5</v>
      </c>
      <c r="H45" s="11" t="n">
        <f aca="false">F45+G45</f>
        <v>9</v>
      </c>
      <c r="I45" s="11" t="n">
        <v>4</v>
      </c>
      <c r="J45" s="12" t="s">
        <v>102</v>
      </c>
      <c r="K45" s="12" t="s">
        <v>16</v>
      </c>
    </row>
    <row r="46" customFormat="false" ht="48" hidden="false" customHeight="true" outlineLevel="0" collapsed="false">
      <c r="A46" s="11" t="n">
        <v>45</v>
      </c>
      <c r="B46" s="12" t="s">
        <v>96</v>
      </c>
      <c r="C46" s="12" t="s">
        <v>115</v>
      </c>
      <c r="D46" s="13" t="s">
        <v>122</v>
      </c>
      <c r="E46" s="13" t="s">
        <v>123</v>
      </c>
      <c r="F46" s="11" t="n">
        <v>4</v>
      </c>
      <c r="G46" s="11" t="n">
        <v>4</v>
      </c>
      <c r="H46" s="11" t="n">
        <f aca="false">F46+G46</f>
        <v>8</v>
      </c>
      <c r="I46" s="11" t="n">
        <v>2</v>
      </c>
      <c r="J46" s="12" t="s">
        <v>57</v>
      </c>
      <c r="K46" s="12" t="s">
        <v>16</v>
      </c>
    </row>
    <row r="47" customFormat="false" ht="48" hidden="false" customHeight="true" outlineLevel="0" collapsed="false">
      <c r="A47" s="11" t="n">
        <v>46</v>
      </c>
      <c r="B47" s="12" t="s">
        <v>96</v>
      </c>
      <c r="C47" s="12" t="s">
        <v>115</v>
      </c>
      <c r="D47" s="13" t="s">
        <v>124</v>
      </c>
      <c r="E47" s="13" t="s">
        <v>125</v>
      </c>
      <c r="F47" s="11" t="n">
        <v>4</v>
      </c>
      <c r="G47" s="11" t="n">
        <v>5</v>
      </c>
      <c r="H47" s="11" t="n">
        <f aca="false">F47+G47</f>
        <v>9</v>
      </c>
      <c r="I47" s="11" t="n">
        <v>4</v>
      </c>
      <c r="J47" s="12" t="s">
        <v>102</v>
      </c>
      <c r="K47" s="12" t="s">
        <v>16</v>
      </c>
    </row>
    <row r="48" customFormat="false" ht="48" hidden="false" customHeight="true" outlineLevel="0" collapsed="false">
      <c r="A48" s="11" t="n">
        <v>47</v>
      </c>
      <c r="B48" s="12" t="s">
        <v>96</v>
      </c>
      <c r="C48" s="12" t="s">
        <v>115</v>
      </c>
      <c r="D48" s="13" t="s">
        <v>126</v>
      </c>
      <c r="E48" s="13" t="s">
        <v>123</v>
      </c>
      <c r="F48" s="11" t="n">
        <v>4</v>
      </c>
      <c r="G48" s="11" t="n">
        <v>4</v>
      </c>
      <c r="H48" s="11" t="n">
        <f aca="false">F48+G48</f>
        <v>8</v>
      </c>
      <c r="I48" s="11" t="n">
        <v>2</v>
      </c>
      <c r="J48" s="12" t="s">
        <v>57</v>
      </c>
      <c r="K48" s="12" t="s">
        <v>16</v>
      </c>
    </row>
    <row r="49" customFormat="false" ht="48" hidden="false" customHeight="true" outlineLevel="0" collapsed="false">
      <c r="A49" s="11" t="n">
        <v>48</v>
      </c>
      <c r="B49" s="12" t="s">
        <v>96</v>
      </c>
      <c r="C49" s="12" t="s">
        <v>127</v>
      </c>
      <c r="D49" s="13" t="s">
        <v>128</v>
      </c>
      <c r="E49" s="13" t="s">
        <v>129</v>
      </c>
      <c r="F49" s="11" t="n">
        <v>2</v>
      </c>
      <c r="G49" s="11" t="n">
        <v>4</v>
      </c>
      <c r="H49" s="11" t="n">
        <f aca="false">F49+G49</f>
        <v>6</v>
      </c>
      <c r="I49" s="11" t="n">
        <v>3</v>
      </c>
      <c r="J49" s="12" t="s">
        <v>15</v>
      </c>
      <c r="K49" s="12" t="s">
        <v>16</v>
      </c>
    </row>
    <row r="50" customFormat="false" ht="48" hidden="false" customHeight="true" outlineLevel="0" collapsed="false">
      <c r="A50" s="11" t="n">
        <v>49</v>
      </c>
      <c r="B50" s="12" t="s">
        <v>96</v>
      </c>
      <c r="C50" s="12" t="s">
        <v>130</v>
      </c>
      <c r="D50" s="13" t="s">
        <v>131</v>
      </c>
      <c r="E50" s="13" t="s">
        <v>132</v>
      </c>
      <c r="F50" s="11" t="n">
        <v>3</v>
      </c>
      <c r="G50" s="11" t="n">
        <v>5</v>
      </c>
      <c r="H50" s="11" t="n">
        <f aca="false">F50+G50</f>
        <v>8</v>
      </c>
      <c r="I50" s="11" t="n">
        <v>3</v>
      </c>
      <c r="J50" s="12" t="s">
        <v>15</v>
      </c>
      <c r="K50" s="12" t="s">
        <v>16</v>
      </c>
    </row>
    <row r="51" customFormat="false" ht="48" hidden="false" customHeight="true" outlineLevel="0" collapsed="false">
      <c r="A51" s="14" t="n">
        <v>50</v>
      </c>
      <c r="B51" s="15" t="s">
        <v>133</v>
      </c>
      <c r="C51" s="15" t="s">
        <v>134</v>
      </c>
      <c r="D51" s="16" t="s">
        <v>135</v>
      </c>
      <c r="E51" s="16" t="s">
        <v>136</v>
      </c>
      <c r="F51" s="14" t="n">
        <v>5</v>
      </c>
      <c r="G51" s="14" t="n">
        <v>3</v>
      </c>
      <c r="H51" s="14" t="n">
        <f aca="false">F51+G51</f>
        <v>8</v>
      </c>
      <c r="I51" s="14" t="n">
        <v>1</v>
      </c>
      <c r="J51" s="15" t="s">
        <v>25</v>
      </c>
      <c r="K51" s="15" t="s">
        <v>20</v>
      </c>
    </row>
    <row r="52" customFormat="false" ht="48" hidden="false" customHeight="true" outlineLevel="0" collapsed="false">
      <c r="A52" s="14" t="n">
        <v>51</v>
      </c>
      <c r="B52" s="15" t="s">
        <v>133</v>
      </c>
      <c r="C52" s="15" t="s">
        <v>137</v>
      </c>
      <c r="D52" s="16" t="s">
        <v>138</v>
      </c>
      <c r="E52" s="16" t="s">
        <v>139</v>
      </c>
      <c r="F52" s="14" t="n">
        <v>5</v>
      </c>
      <c r="G52" s="14" t="n">
        <v>4</v>
      </c>
      <c r="H52" s="14" t="n">
        <f aca="false">F52+G52</f>
        <v>9</v>
      </c>
      <c r="I52" s="14" t="n">
        <v>1</v>
      </c>
      <c r="J52" s="15" t="s">
        <v>57</v>
      </c>
      <c r="K52" s="15" t="s">
        <v>16</v>
      </c>
    </row>
    <row r="53" customFormat="false" ht="48" hidden="false" customHeight="true" outlineLevel="0" collapsed="false">
      <c r="A53" s="14" t="n">
        <v>52</v>
      </c>
      <c r="B53" s="15" t="s">
        <v>133</v>
      </c>
      <c r="C53" s="15" t="s">
        <v>140</v>
      </c>
      <c r="D53" s="16" t="s">
        <v>141</v>
      </c>
      <c r="E53" s="16" t="s">
        <v>142</v>
      </c>
      <c r="F53" s="14" t="n">
        <v>5</v>
      </c>
      <c r="G53" s="14" t="n">
        <v>2</v>
      </c>
      <c r="H53" s="14" t="n">
        <f aca="false">F53+G53</f>
        <v>7</v>
      </c>
      <c r="I53" s="14" t="n">
        <v>1</v>
      </c>
      <c r="J53" s="15" t="s">
        <v>25</v>
      </c>
      <c r="K53" s="15" t="s">
        <v>20</v>
      </c>
    </row>
    <row r="54" customFormat="false" ht="48" hidden="false" customHeight="true" outlineLevel="0" collapsed="false">
      <c r="A54" s="14" t="n">
        <v>53</v>
      </c>
      <c r="B54" s="15" t="s">
        <v>133</v>
      </c>
      <c r="C54" s="15" t="s">
        <v>143</v>
      </c>
      <c r="D54" s="16" t="s">
        <v>144</v>
      </c>
      <c r="E54" s="16" t="s">
        <v>145</v>
      </c>
      <c r="F54" s="14" t="n">
        <v>5</v>
      </c>
      <c r="G54" s="14" t="n">
        <v>4</v>
      </c>
      <c r="H54" s="14" t="n">
        <f aca="false">F54+G54</f>
        <v>9</v>
      </c>
      <c r="I54" s="14" t="n">
        <v>2</v>
      </c>
      <c r="J54" s="15" t="s">
        <v>146</v>
      </c>
      <c r="K54" s="15" t="s">
        <v>16</v>
      </c>
    </row>
    <row r="55" customFormat="false" ht="48" hidden="false" customHeight="true" outlineLevel="0" collapsed="false">
      <c r="A55" s="14" t="n">
        <v>54</v>
      </c>
      <c r="B55" s="15" t="s">
        <v>133</v>
      </c>
      <c r="C55" s="15" t="s">
        <v>147</v>
      </c>
      <c r="D55" s="16" t="s">
        <v>148</v>
      </c>
      <c r="E55" s="16" t="s">
        <v>149</v>
      </c>
      <c r="F55" s="14" t="n">
        <v>5</v>
      </c>
      <c r="G55" s="14" t="n">
        <v>3</v>
      </c>
      <c r="H55" s="14" t="n">
        <f aca="false">F55+G55</f>
        <v>8</v>
      </c>
      <c r="I55" s="14" t="n">
        <v>3</v>
      </c>
      <c r="J55" s="15" t="s">
        <v>150</v>
      </c>
      <c r="K55" s="15" t="s">
        <v>16</v>
      </c>
    </row>
    <row r="56" customFormat="false" ht="48" hidden="false" customHeight="true" outlineLevel="0" collapsed="false">
      <c r="A56" s="17" t="n">
        <v>55</v>
      </c>
      <c r="B56" s="18" t="s">
        <v>151</v>
      </c>
      <c r="C56" s="18" t="s">
        <v>152</v>
      </c>
      <c r="D56" s="19" t="s">
        <v>153</v>
      </c>
      <c r="E56" s="19" t="s">
        <v>154</v>
      </c>
      <c r="F56" s="17" t="n">
        <v>4</v>
      </c>
      <c r="G56" s="17" t="n">
        <v>3</v>
      </c>
      <c r="H56" s="17" t="n">
        <f aca="false">F56+G56</f>
        <v>7</v>
      </c>
      <c r="I56" s="17" t="n">
        <v>1</v>
      </c>
      <c r="J56" s="18" t="s">
        <v>39</v>
      </c>
      <c r="K56" s="18" t="s">
        <v>16</v>
      </c>
    </row>
    <row r="57" customFormat="false" ht="48" hidden="false" customHeight="true" outlineLevel="0" collapsed="false">
      <c r="A57" s="17" t="n">
        <v>56</v>
      </c>
      <c r="B57" s="18" t="s">
        <v>151</v>
      </c>
      <c r="C57" s="18" t="s">
        <v>152</v>
      </c>
      <c r="D57" s="19" t="s">
        <v>155</v>
      </c>
      <c r="E57" s="19" t="s">
        <v>154</v>
      </c>
      <c r="F57" s="17" t="n">
        <v>4</v>
      </c>
      <c r="G57" s="17" t="n">
        <v>3</v>
      </c>
      <c r="H57" s="17" t="n">
        <f aca="false">F57+G57</f>
        <v>7</v>
      </c>
      <c r="I57" s="17" t="n">
        <v>1</v>
      </c>
      <c r="J57" s="18" t="s">
        <v>39</v>
      </c>
      <c r="K57" s="18" t="s">
        <v>16</v>
      </c>
    </row>
    <row r="58" customFormat="false" ht="48" hidden="false" customHeight="true" outlineLevel="0" collapsed="false">
      <c r="A58" s="17" t="n">
        <v>57</v>
      </c>
      <c r="B58" s="18" t="s">
        <v>151</v>
      </c>
      <c r="C58" s="18" t="s">
        <v>152</v>
      </c>
      <c r="D58" s="19" t="s">
        <v>156</v>
      </c>
      <c r="E58" s="19" t="s">
        <v>154</v>
      </c>
      <c r="F58" s="17" t="n">
        <v>4</v>
      </c>
      <c r="G58" s="17" t="n">
        <v>3</v>
      </c>
      <c r="H58" s="17" t="n">
        <f aca="false">F58+G58</f>
        <v>7</v>
      </c>
      <c r="I58" s="17" t="n">
        <v>1</v>
      </c>
      <c r="J58" s="18" t="s">
        <v>39</v>
      </c>
      <c r="K58" s="18" t="s">
        <v>16</v>
      </c>
    </row>
    <row r="59" customFormat="false" ht="48" hidden="false" customHeight="true" outlineLevel="0" collapsed="false">
      <c r="A59" s="17" t="n">
        <v>58</v>
      </c>
      <c r="B59" s="18" t="s">
        <v>151</v>
      </c>
      <c r="C59" s="18" t="s">
        <v>157</v>
      </c>
      <c r="D59" s="19" t="s">
        <v>158</v>
      </c>
      <c r="E59" s="19" t="s">
        <v>159</v>
      </c>
      <c r="F59" s="17" t="n">
        <v>4</v>
      </c>
      <c r="G59" s="17" t="n">
        <v>3</v>
      </c>
      <c r="H59" s="17" t="n">
        <f aca="false">F59+G59</f>
        <v>7</v>
      </c>
      <c r="I59" s="17" t="n">
        <v>1</v>
      </c>
      <c r="J59" s="18" t="s">
        <v>57</v>
      </c>
      <c r="K59" s="18" t="s">
        <v>16</v>
      </c>
    </row>
    <row r="60" customFormat="false" ht="48" hidden="false" customHeight="true" outlineLevel="0" collapsed="false">
      <c r="A60" s="17" t="n">
        <v>59</v>
      </c>
      <c r="B60" s="18" t="s">
        <v>151</v>
      </c>
      <c r="C60" s="18" t="s">
        <v>157</v>
      </c>
      <c r="D60" s="19" t="s">
        <v>160</v>
      </c>
      <c r="E60" s="19" t="s">
        <v>159</v>
      </c>
      <c r="F60" s="17" t="n">
        <v>4</v>
      </c>
      <c r="G60" s="17" t="n">
        <v>3</v>
      </c>
      <c r="H60" s="17" t="n">
        <f aca="false">F60+G60</f>
        <v>7</v>
      </c>
      <c r="I60" s="17" t="n">
        <v>1</v>
      </c>
      <c r="J60" s="18" t="s">
        <v>57</v>
      </c>
      <c r="K60" s="18" t="s">
        <v>16</v>
      </c>
    </row>
    <row r="61" customFormat="false" ht="48" hidden="false" customHeight="true" outlineLevel="0" collapsed="false">
      <c r="A61" s="17" t="n">
        <v>60</v>
      </c>
      <c r="B61" s="18" t="s">
        <v>151</v>
      </c>
      <c r="C61" s="18" t="s">
        <v>157</v>
      </c>
      <c r="D61" s="19" t="s">
        <v>161</v>
      </c>
      <c r="E61" s="19" t="s">
        <v>159</v>
      </c>
      <c r="F61" s="17" t="n">
        <v>4</v>
      </c>
      <c r="G61" s="17" t="n">
        <v>3</v>
      </c>
      <c r="H61" s="17" t="n">
        <f aca="false">F61+G61</f>
        <v>7</v>
      </c>
      <c r="I61" s="17" t="n">
        <v>1</v>
      </c>
      <c r="J61" s="18" t="s">
        <v>57</v>
      </c>
      <c r="K61" s="18" t="s">
        <v>16</v>
      </c>
    </row>
    <row r="62" customFormat="false" ht="48" hidden="false" customHeight="true" outlineLevel="0" collapsed="false">
      <c r="A62" s="17" t="n">
        <v>61</v>
      </c>
      <c r="B62" s="18" t="s">
        <v>151</v>
      </c>
      <c r="C62" s="18" t="s">
        <v>162</v>
      </c>
      <c r="D62" s="19" t="s">
        <v>163</v>
      </c>
      <c r="E62" s="19" t="s">
        <v>164</v>
      </c>
      <c r="F62" s="17" t="n">
        <v>3</v>
      </c>
      <c r="G62" s="17" t="n">
        <v>4</v>
      </c>
      <c r="H62" s="17" t="n">
        <f aca="false">F62+G62</f>
        <v>7</v>
      </c>
      <c r="I62" s="17" t="n">
        <v>1</v>
      </c>
      <c r="J62" s="18" t="s">
        <v>25</v>
      </c>
      <c r="K62" s="18" t="s">
        <v>16</v>
      </c>
    </row>
    <row r="63" customFormat="false" ht="48" hidden="false" customHeight="true" outlineLevel="0" collapsed="false">
      <c r="A63" s="17" t="n">
        <v>62</v>
      </c>
      <c r="B63" s="18" t="s">
        <v>151</v>
      </c>
      <c r="C63" s="18" t="s">
        <v>165</v>
      </c>
      <c r="D63" s="19" t="s">
        <v>166</v>
      </c>
      <c r="E63" s="19" t="s">
        <v>167</v>
      </c>
      <c r="F63" s="17" t="n">
        <v>4</v>
      </c>
      <c r="G63" s="17" t="n">
        <v>4</v>
      </c>
      <c r="H63" s="17" t="n">
        <f aca="false">F63+G63</f>
        <v>8</v>
      </c>
      <c r="I63" s="17" t="n">
        <v>2</v>
      </c>
      <c r="J63" s="18" t="s">
        <v>146</v>
      </c>
      <c r="K63" s="18" t="s">
        <v>16</v>
      </c>
    </row>
    <row r="64" customFormat="false" ht="48" hidden="false" customHeight="true" outlineLevel="0" collapsed="false">
      <c r="A64" s="17" t="n">
        <v>63</v>
      </c>
      <c r="B64" s="18" t="s">
        <v>151</v>
      </c>
      <c r="C64" s="18" t="s">
        <v>168</v>
      </c>
      <c r="D64" s="19" t="s">
        <v>169</v>
      </c>
      <c r="E64" s="19" t="s">
        <v>170</v>
      </c>
      <c r="F64" s="17" t="n">
        <v>4</v>
      </c>
      <c r="G64" s="17" t="n">
        <v>5</v>
      </c>
      <c r="H64" s="17" t="n">
        <f aca="false">F64+G64</f>
        <v>9</v>
      </c>
      <c r="I64" s="17" t="n">
        <v>1</v>
      </c>
      <c r="J64" s="18" t="s">
        <v>39</v>
      </c>
      <c r="K64" s="18" t="s">
        <v>16</v>
      </c>
    </row>
    <row r="65" customFormat="false" ht="48" hidden="false" customHeight="true" outlineLevel="0" collapsed="false">
      <c r="A65" s="17" t="n">
        <v>64</v>
      </c>
      <c r="B65" s="18" t="s">
        <v>151</v>
      </c>
      <c r="C65" s="18" t="s">
        <v>171</v>
      </c>
      <c r="D65" s="19" t="s">
        <v>172</v>
      </c>
      <c r="E65" s="19" t="s">
        <v>173</v>
      </c>
      <c r="F65" s="17" t="n">
        <v>4</v>
      </c>
      <c r="G65" s="17" t="n">
        <v>5</v>
      </c>
      <c r="H65" s="17" t="n">
        <f aca="false">F65+G65</f>
        <v>9</v>
      </c>
      <c r="I65" s="17" t="n">
        <v>2</v>
      </c>
      <c r="J65" s="18" t="s">
        <v>174</v>
      </c>
      <c r="K65" s="18" t="s">
        <v>16</v>
      </c>
    </row>
    <row r="66" customFormat="false" ht="48" hidden="false" customHeight="true" outlineLevel="0" collapsed="false">
      <c r="A66" s="17" t="n">
        <v>65</v>
      </c>
      <c r="B66" s="18" t="s">
        <v>151</v>
      </c>
      <c r="C66" s="18" t="s">
        <v>171</v>
      </c>
      <c r="D66" s="19" t="s">
        <v>175</v>
      </c>
      <c r="E66" s="19" t="s">
        <v>176</v>
      </c>
      <c r="F66" s="17" t="n">
        <v>4</v>
      </c>
      <c r="G66" s="17" t="n">
        <v>5</v>
      </c>
      <c r="H66" s="17" t="n">
        <f aca="false">F66+G66</f>
        <v>9</v>
      </c>
      <c r="I66" s="17" t="n">
        <v>2</v>
      </c>
      <c r="J66" s="18" t="s">
        <v>174</v>
      </c>
      <c r="K66" s="18" t="s">
        <v>16</v>
      </c>
    </row>
    <row r="67" customFormat="false" ht="48" hidden="false" customHeight="true" outlineLevel="0" collapsed="false">
      <c r="A67" s="17" t="n">
        <v>66</v>
      </c>
      <c r="B67" s="18" t="s">
        <v>151</v>
      </c>
      <c r="C67" s="18" t="s">
        <v>171</v>
      </c>
      <c r="D67" s="19" t="s">
        <v>177</v>
      </c>
      <c r="E67" s="19" t="s">
        <v>178</v>
      </c>
      <c r="F67" s="17" t="n">
        <v>4</v>
      </c>
      <c r="G67" s="17" t="n">
        <v>4</v>
      </c>
      <c r="H67" s="17" t="n">
        <f aca="false">F67+G67</f>
        <v>8</v>
      </c>
      <c r="I67" s="17" t="n">
        <v>2</v>
      </c>
      <c r="J67" s="18" t="s">
        <v>174</v>
      </c>
      <c r="K67" s="18" t="s">
        <v>16</v>
      </c>
    </row>
    <row r="68" customFormat="false" ht="48" hidden="false" customHeight="true" outlineLevel="0" collapsed="false">
      <c r="A68" s="17" t="n">
        <v>67</v>
      </c>
      <c r="B68" s="18" t="s">
        <v>151</v>
      </c>
      <c r="C68" s="18" t="s">
        <v>171</v>
      </c>
      <c r="D68" s="19" t="s">
        <v>179</v>
      </c>
      <c r="E68" s="19" t="s">
        <v>180</v>
      </c>
      <c r="F68" s="17" t="n">
        <v>4</v>
      </c>
      <c r="G68" s="17" t="n">
        <v>4</v>
      </c>
      <c r="H68" s="17" t="n">
        <f aca="false">F68+G68</f>
        <v>8</v>
      </c>
      <c r="I68" s="17" t="n">
        <v>2</v>
      </c>
      <c r="J68" s="18" t="s">
        <v>174</v>
      </c>
      <c r="K68" s="18" t="s">
        <v>16</v>
      </c>
    </row>
    <row r="69" customFormat="false" ht="48" hidden="false" customHeight="true" outlineLevel="0" collapsed="false">
      <c r="A69" s="17" t="n">
        <v>68</v>
      </c>
      <c r="B69" s="18" t="s">
        <v>151</v>
      </c>
      <c r="C69" s="18" t="s">
        <v>181</v>
      </c>
      <c r="D69" s="19" t="s">
        <v>182</v>
      </c>
      <c r="E69" s="19" t="s">
        <v>183</v>
      </c>
      <c r="F69" s="17" t="n">
        <v>4</v>
      </c>
      <c r="G69" s="17" t="n">
        <v>4</v>
      </c>
      <c r="H69" s="17" t="n">
        <f aca="false">F69+G69</f>
        <v>8</v>
      </c>
      <c r="I69" s="17" t="n">
        <v>4</v>
      </c>
      <c r="J69" s="18" t="s">
        <v>102</v>
      </c>
      <c r="K69" s="18" t="s">
        <v>16</v>
      </c>
    </row>
    <row r="70" customFormat="false" ht="48" hidden="false" customHeight="true" outlineLevel="0" collapsed="false">
      <c r="A70" s="17" t="n">
        <v>69</v>
      </c>
      <c r="B70" s="18" t="s">
        <v>151</v>
      </c>
      <c r="C70" s="18" t="s">
        <v>181</v>
      </c>
      <c r="D70" s="19" t="s">
        <v>184</v>
      </c>
      <c r="E70" s="19" t="s">
        <v>185</v>
      </c>
      <c r="F70" s="17" t="n">
        <v>4</v>
      </c>
      <c r="G70" s="17" t="n">
        <v>4</v>
      </c>
      <c r="H70" s="17" t="n">
        <f aca="false">F70+G70</f>
        <v>8</v>
      </c>
      <c r="I70" s="17" t="n">
        <v>3</v>
      </c>
      <c r="J70" s="18" t="s">
        <v>15</v>
      </c>
      <c r="K70" s="18" t="s">
        <v>16</v>
      </c>
    </row>
    <row r="71" customFormat="false" ht="48" hidden="false" customHeight="true" outlineLevel="0" collapsed="false">
      <c r="A71" s="17" t="n">
        <v>70</v>
      </c>
      <c r="B71" s="18" t="s">
        <v>151</v>
      </c>
      <c r="C71" s="18" t="s">
        <v>181</v>
      </c>
      <c r="D71" s="19" t="s">
        <v>186</v>
      </c>
      <c r="E71" s="19" t="s">
        <v>187</v>
      </c>
      <c r="F71" s="17" t="n">
        <v>4</v>
      </c>
      <c r="G71" s="17" t="n">
        <v>4</v>
      </c>
      <c r="H71" s="17" t="n">
        <f aca="false">F71+G71</f>
        <v>8</v>
      </c>
      <c r="I71" s="17" t="n">
        <v>2</v>
      </c>
      <c r="J71" s="18" t="s">
        <v>146</v>
      </c>
      <c r="K71" s="18" t="s">
        <v>16</v>
      </c>
    </row>
  </sheetData>
  <autoFilter ref="A1:K71"/>
  <conditionalFormatting sqref="H2:H71">
    <cfRule type="colorScale" priority="2">
      <colorScale>
        <cfvo type="num" val="4"/>
        <cfvo type="num" val="7"/>
        <cfvo type="num" val="10"/>
        <color rgb="FFF8696B"/>
        <color rgb="FFFFEB84"/>
        <color rgb="FF63BE7B"/>
      </colorScale>
    </cfRule>
  </conditionalFormatting>
  <conditionalFormatting sqref="I2:I71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20" t="s">
        <v>188</v>
      </c>
      <c r="B1" s="20"/>
      <c r="C1" s="20"/>
      <c r="D1" s="20"/>
      <c r="E1" s="20"/>
    </row>
    <row r="3" customFormat="false" ht="15" hidden="false" customHeight="false" outlineLevel="0" collapsed="false">
      <c r="A3" s="21" t="s">
        <v>189</v>
      </c>
      <c r="B3" s="21"/>
    </row>
    <row r="4" customFormat="false" ht="15" hidden="false" customHeight="false" outlineLevel="0" collapsed="false">
      <c r="A4" s="22" t="s">
        <v>190</v>
      </c>
      <c r="B4" s="23" t="n">
        <f aca="false">COUNTA('Video Ideas'!A2:A71)</f>
        <v>70</v>
      </c>
    </row>
    <row r="5" customFormat="false" ht="15" hidden="false" customHeight="false" outlineLevel="0" collapsed="false">
      <c r="A5" s="22" t="s">
        <v>191</v>
      </c>
      <c r="B5" s="23" t="n">
        <f aca="false">ROUND(AVERAGE('Video Ideas'!H2:H71),1)</f>
        <v>7.9</v>
      </c>
    </row>
    <row r="6" customFormat="false" ht="15" hidden="false" customHeight="false" outlineLevel="0" collapsed="false">
      <c r="A6" s="22" t="s">
        <v>192</v>
      </c>
      <c r="B6" s="23" t="n">
        <f aca="false">COUNTIF('Video Ideas'!J2:J71,"Ready (0 min)")</f>
        <v>6</v>
      </c>
    </row>
    <row r="7" customFormat="false" ht="15" hidden="false" customHeight="false" outlineLevel="0" collapsed="false">
      <c r="A7" s="22" t="s">
        <v>193</v>
      </c>
      <c r="B7" s="23" t="n">
        <f aca="false">COUNTIF('Video Ideas'!K2:K71,"Yes")</f>
        <v>45</v>
      </c>
    </row>
    <row r="8" customFormat="false" ht="15" hidden="false" customHeight="false" outlineLevel="0" collapsed="false">
      <c r="A8" s="22" t="s">
        <v>194</v>
      </c>
      <c r="B8" s="23" t="n">
        <f aca="false">COUNTIFS('Video Ideas'!H2:H71,"&gt;=9",'Video Ideas'!I2:I71,1)</f>
        <v>12</v>
      </c>
    </row>
    <row r="10" customFormat="false" ht="15" hidden="false" customHeight="false" outlineLevel="0" collapsed="false">
      <c r="A10" s="21" t="s">
        <v>195</v>
      </c>
      <c r="B10" s="21"/>
      <c r="C10" s="21"/>
      <c r="D10" s="21"/>
    </row>
    <row r="11" customFormat="false" ht="15" hidden="false" customHeight="false" outlineLevel="0" collapsed="false">
      <c r="A11" s="23" t="s">
        <v>1</v>
      </c>
      <c r="B11" s="23" t="s">
        <v>196</v>
      </c>
      <c r="C11" s="23" t="s">
        <v>197</v>
      </c>
      <c r="D11" s="23" t="s">
        <v>198</v>
      </c>
    </row>
    <row r="12" customFormat="false" ht="15" hidden="false" customHeight="false" outlineLevel="0" collapsed="false">
      <c r="A12" s="24" t="s">
        <v>11</v>
      </c>
      <c r="B12" s="25" t="n">
        <f aca="false">COUNTIF('Video Ideas'!B2:B71,A12)</f>
        <v>2</v>
      </c>
      <c r="C12" s="25" t="n">
        <f aca="false">ROUND(AVERAGEIF('Video Ideas'!B2:B71,A12,'Video Ideas'!H2:H71),1)</f>
        <v>7.5</v>
      </c>
      <c r="D12" s="25" t="n">
        <f aca="false">ROUND(AVERAGEIF('Video Ideas'!B2:B71,A12,'Video Ideas'!I2:I71),1)</f>
        <v>3</v>
      </c>
    </row>
    <row r="13" customFormat="false" ht="15" hidden="false" customHeight="false" outlineLevel="0" collapsed="false">
      <c r="A13" s="26" t="s">
        <v>21</v>
      </c>
      <c r="B13" s="27" t="n">
        <f aca="false">COUNTIF('Video Ideas'!B2:B71,A13)</f>
        <v>22</v>
      </c>
      <c r="C13" s="27" t="n">
        <f aca="false">ROUND(AVERAGEIF('Video Ideas'!B2:B71,A13,'Video Ideas'!H2:H71),1)</f>
        <v>8.2</v>
      </c>
      <c r="D13" s="27" t="n">
        <f aca="false">ROUND(AVERAGEIF('Video Ideas'!B2:B71,A13,'Video Ideas'!I2:I71),1)</f>
        <v>1.2</v>
      </c>
    </row>
    <row r="14" customFormat="false" ht="15" hidden="false" customHeight="false" outlineLevel="0" collapsed="false">
      <c r="A14" s="28" t="s">
        <v>78</v>
      </c>
      <c r="B14" s="29" t="n">
        <f aca="false">COUNTIF('Video Ideas'!B2:B71,A14)</f>
        <v>11</v>
      </c>
      <c r="C14" s="29" t="n">
        <f aca="false">ROUND(AVERAGEIF('Video Ideas'!B2:B71,A14,'Video Ideas'!H2:H71),1)</f>
        <v>7.3</v>
      </c>
      <c r="D14" s="29" t="n">
        <f aca="false">ROUND(AVERAGEIF('Video Ideas'!B2:B71,A14,'Video Ideas'!I2:I71),1)</f>
        <v>1</v>
      </c>
    </row>
    <row r="15" customFormat="false" ht="15" hidden="false" customHeight="false" outlineLevel="0" collapsed="false">
      <c r="A15" s="30" t="s">
        <v>96</v>
      </c>
      <c r="B15" s="31" t="n">
        <f aca="false">COUNTIF('Video Ideas'!B2:B71,A15)</f>
        <v>14</v>
      </c>
      <c r="C15" s="31" t="n">
        <f aca="false">ROUND(AVERAGEIF('Video Ideas'!B2:B71,A15,'Video Ideas'!H2:H71),1)</f>
        <v>7.9</v>
      </c>
      <c r="D15" s="31" t="n">
        <f aca="false">ROUND(AVERAGEIF('Video Ideas'!B2:B71,A15,'Video Ideas'!I2:I71),1)</f>
        <v>2.9</v>
      </c>
    </row>
    <row r="16" customFormat="false" ht="15" hidden="false" customHeight="false" outlineLevel="0" collapsed="false">
      <c r="A16" s="32" t="s">
        <v>133</v>
      </c>
      <c r="B16" s="33" t="n">
        <f aca="false">COUNTIF('Video Ideas'!B2:B71,A16)</f>
        <v>5</v>
      </c>
      <c r="C16" s="33" t="n">
        <f aca="false">ROUND(AVERAGEIF('Video Ideas'!B2:B71,A16,'Video Ideas'!H2:H71),1)</f>
        <v>8.2</v>
      </c>
      <c r="D16" s="33" t="n">
        <f aca="false">ROUND(AVERAGEIF('Video Ideas'!B2:B71,A16,'Video Ideas'!I2:I71),1)</f>
        <v>1.6</v>
      </c>
    </row>
    <row r="17" customFormat="false" ht="15" hidden="false" customHeight="false" outlineLevel="0" collapsed="false">
      <c r="A17" s="34" t="s">
        <v>151</v>
      </c>
      <c r="B17" s="35" t="n">
        <f aca="false">COUNTIF('Video Ideas'!B2:B71,A17)</f>
        <v>16</v>
      </c>
      <c r="C17" s="35" t="n">
        <f aca="false">ROUND(AVERAGEIF('Video Ideas'!B2:B71,A17,'Video Ideas'!H2:H71),1)</f>
        <v>7.8</v>
      </c>
      <c r="D17" s="35" t="n">
        <f aca="false">ROUND(AVERAGEIF('Video Ideas'!B2:B71,A17,'Video Ideas'!I2:I71),1)</f>
        <v>1.7</v>
      </c>
    </row>
    <row r="20" customFormat="false" ht="15" hidden="false" customHeight="false" outlineLevel="0" collapsed="false">
      <c r="A20" s="21" t="s">
        <v>199</v>
      </c>
      <c r="B20" s="21"/>
      <c r="C20" s="21"/>
      <c r="D20" s="21"/>
      <c r="E20" s="21"/>
    </row>
    <row r="21" customFormat="false" ht="15" hidden="false" customHeight="false" outlineLevel="0" collapsed="false">
      <c r="A21" s="36" t="s">
        <v>3</v>
      </c>
      <c r="B21" s="36" t="s">
        <v>1</v>
      </c>
      <c r="C21" s="36" t="s">
        <v>200</v>
      </c>
      <c r="D21" s="36" t="s">
        <v>201</v>
      </c>
      <c r="E21" s="36" t="s">
        <v>202</v>
      </c>
    </row>
    <row r="22" customFormat="false" ht="15" hidden="false" customHeight="false" outlineLevel="0" collapsed="false">
      <c r="A22" s="37" t="str">
        <f aca="false">'Video Ideas'!D4</f>
        <v>My current best XI</v>
      </c>
      <c r="B22" s="38" t="str">
        <f aca="false">'Video Ideas'!B4</f>
        <v>Collection Journey</v>
      </c>
      <c r="C22" s="38" t="n">
        <f aca="false">'Video Ideas'!H4</f>
        <v>9</v>
      </c>
      <c r="D22" s="38" t="n">
        <f aca="false">'Video Ideas'!I4</f>
        <v>1</v>
      </c>
      <c r="E22" s="38" t="str">
        <f aca="false">'Video Ideas'!K4</f>
        <v>Yes</v>
      </c>
    </row>
    <row r="23" customFormat="false" ht="15" hidden="false" customHeight="false" outlineLevel="0" collapsed="false">
      <c r="A23" s="37" t="str">
        <f aca="false">'Video Ideas'!D9</f>
        <v>Album completion: 50%</v>
      </c>
      <c r="B23" s="38" t="str">
        <f aca="false">'Video Ideas'!B9</f>
        <v>Collection Journey</v>
      </c>
      <c r="C23" s="38" t="n">
        <f aca="false">'Video Ideas'!H9</f>
        <v>9</v>
      </c>
      <c r="D23" s="38" t="n">
        <f aca="false">'Video Ideas'!I9</f>
        <v>1</v>
      </c>
      <c r="E23" s="38" t="str">
        <f aca="false">'Video Ideas'!K9</f>
        <v>Yes</v>
      </c>
    </row>
    <row r="24" customFormat="false" ht="15" hidden="false" customHeight="false" outlineLevel="0" collapsed="false">
      <c r="A24" s="37" t="str">
        <f aca="false">'Video Ideas'!D10</f>
        <v>Album completion: 65%</v>
      </c>
      <c r="B24" s="38" t="str">
        <f aca="false">'Video Ideas'!B10</f>
        <v>Collection Journey</v>
      </c>
      <c r="C24" s="38" t="n">
        <f aca="false">'Video Ideas'!H10</f>
        <v>9</v>
      </c>
      <c r="D24" s="38" t="n">
        <f aca="false">'Video Ideas'!I10</f>
        <v>1</v>
      </c>
      <c r="E24" s="38" t="str">
        <f aca="false">'Video Ideas'!K10</f>
        <v>Yes</v>
      </c>
    </row>
    <row r="25" customFormat="false" ht="15" hidden="false" customHeight="false" outlineLevel="0" collapsed="false">
      <c r="A25" s="37" t="str">
        <f aca="false">'Video Ideas'!D11</f>
        <v>Album completion: 75%</v>
      </c>
      <c r="B25" s="38" t="str">
        <f aca="false">'Video Ideas'!B11</f>
        <v>Collection Journey</v>
      </c>
      <c r="C25" s="38" t="n">
        <f aca="false">'Video Ideas'!H11</f>
        <v>9</v>
      </c>
      <c r="D25" s="38" t="n">
        <f aca="false">'Video Ideas'!I11</f>
        <v>1</v>
      </c>
      <c r="E25" s="38" t="str">
        <f aca="false">'Video Ideas'!K11</f>
        <v>Yes</v>
      </c>
    </row>
    <row r="26" customFormat="false" ht="15" hidden="false" customHeight="false" outlineLevel="0" collapsed="false">
      <c r="A26" s="37" t="str">
        <f aca="false">'Video Ideas'!D12</f>
        <v>Album completion: 80%</v>
      </c>
      <c r="B26" s="38" t="str">
        <f aca="false">'Video Ideas'!B12</f>
        <v>Collection Journey</v>
      </c>
      <c r="C26" s="38" t="n">
        <f aca="false">'Video Ideas'!H12</f>
        <v>9</v>
      </c>
      <c r="D26" s="38" t="n">
        <f aca="false">'Video Ideas'!I12</f>
        <v>1</v>
      </c>
      <c r="E26" s="38" t="str">
        <f aca="false">'Video Ideas'!K12</f>
        <v>Yes</v>
      </c>
    </row>
    <row r="27" customFormat="false" ht="15" hidden="false" customHeight="false" outlineLevel="0" collapsed="false">
      <c r="A27" s="37" t="str">
        <f aca="false">'Video Ideas'!D13</f>
        <v>Album completion: 85%</v>
      </c>
      <c r="B27" s="38" t="str">
        <f aca="false">'Video Ideas'!B13</f>
        <v>Collection Journey</v>
      </c>
      <c r="C27" s="38" t="n">
        <f aca="false">'Video Ideas'!H13</f>
        <v>9</v>
      </c>
      <c r="D27" s="38" t="n">
        <f aca="false">'Video Ideas'!I13</f>
        <v>1</v>
      </c>
      <c r="E27" s="38" t="str">
        <f aca="false">'Video Ideas'!K13</f>
        <v>Yes</v>
      </c>
    </row>
    <row r="28" customFormat="false" ht="15" hidden="false" customHeight="false" outlineLevel="0" collapsed="false">
      <c r="A28" s="37" t="str">
        <f aca="false">'Video Ideas'!D14</f>
        <v>Album completion: 90%</v>
      </c>
      <c r="B28" s="38" t="str">
        <f aca="false">'Video Ideas'!B14</f>
        <v>Collection Journey</v>
      </c>
      <c r="C28" s="38" t="n">
        <f aca="false">'Video Ideas'!H14</f>
        <v>9</v>
      </c>
      <c r="D28" s="38" t="n">
        <f aca="false">'Video Ideas'!I14</f>
        <v>1</v>
      </c>
      <c r="E28" s="38" t="str">
        <f aca="false">'Video Ideas'!K14</f>
        <v>Yes</v>
      </c>
    </row>
    <row r="29" customFormat="false" ht="15" hidden="false" customHeight="false" outlineLevel="0" collapsed="false">
      <c r="A29" s="37" t="str">
        <f aca="false">'Video Ideas'!D15</f>
        <v>Album completion: 95%</v>
      </c>
      <c r="B29" s="38" t="str">
        <f aca="false">'Video Ideas'!B15</f>
        <v>Collection Journey</v>
      </c>
      <c r="C29" s="38" t="n">
        <f aca="false">'Video Ideas'!H15</f>
        <v>9</v>
      </c>
      <c r="D29" s="38" t="n">
        <f aca="false">'Video Ideas'!I15</f>
        <v>1</v>
      </c>
      <c r="E29" s="38" t="str">
        <f aca="false">'Video Ideas'!K15</f>
        <v>Yes</v>
      </c>
    </row>
    <row r="30" customFormat="false" ht="15" hidden="false" customHeight="false" outlineLevel="0" collapsed="false">
      <c r="A30" s="37" t="str">
        <f aca="false">'Video Ideas'!D26</f>
        <v>Complete squad: Brazil</v>
      </c>
      <c r="B30" s="38" t="str">
        <f aca="false">'Video Ideas'!B26</f>
        <v>Country Series (Complete Squad)</v>
      </c>
      <c r="C30" s="38" t="n">
        <f aca="false">'Video Ideas'!H26</f>
        <v>9</v>
      </c>
      <c r="D30" s="38" t="n">
        <f aca="false">'Video Ideas'!I26</f>
        <v>1</v>
      </c>
      <c r="E30" s="38" t="str">
        <f aca="false">'Video Ideas'!K26</f>
        <v>Optional</v>
      </c>
    </row>
    <row r="31" customFormat="false" ht="15" hidden="false" customHeight="false" outlineLevel="0" collapsed="false">
      <c r="A31" s="37" t="str">
        <f aca="false">'Video Ideas'!D27</f>
        <v>Complete squad: France</v>
      </c>
      <c r="B31" s="38" t="str">
        <f aca="false">'Video Ideas'!B27</f>
        <v>Country Series (Complete Squad)</v>
      </c>
      <c r="C31" s="38" t="n">
        <f aca="false">'Video Ideas'!H27</f>
        <v>9</v>
      </c>
      <c r="D31" s="38" t="n">
        <f aca="false">'Video Ideas'!I27</f>
        <v>1</v>
      </c>
      <c r="E31" s="38" t="str">
        <f aca="false">'Video Ideas'!K27</f>
        <v>Optional</v>
      </c>
    </row>
    <row r="32" customFormat="false" ht="15" hidden="false" customHeight="false" outlineLevel="0" collapsed="false">
      <c r="A32" s="37" t="str">
        <f aca="false">'Video Ideas'!D52</f>
        <v>"Exchange alert" live matching</v>
      </c>
      <c r="B32" s="38" t="str">
        <f aca="false">'Video Ideas'!B52</f>
        <v>Doubles &amp; Swap Demo</v>
      </c>
      <c r="C32" s="38" t="n">
        <f aca="false">'Video Ideas'!H52</f>
        <v>9</v>
      </c>
      <c r="D32" s="38" t="n">
        <f aca="false">'Video Ideas'!I52</f>
        <v>1</v>
      </c>
      <c r="E32" s="38" t="str">
        <f aca="false">'Video Ideas'!K52</f>
        <v>Yes</v>
      </c>
    </row>
    <row r="33" customFormat="false" ht="15" hidden="false" customHeight="false" outlineLevel="0" collapsed="false">
      <c r="A33" s="37" t="str">
        <f aca="false">'Video Ideas'!D64</f>
        <v>Messi-themed pack opening</v>
      </c>
      <c r="B33" s="38" t="str">
        <f aca="false">'Video Ideas'!B64</f>
        <v>Pack Opening Series</v>
      </c>
      <c r="C33" s="38" t="n">
        <f aca="false">'Video Ideas'!H64</f>
        <v>9</v>
      </c>
      <c r="D33" s="38" t="n">
        <f aca="false">'Video Ideas'!I64</f>
        <v>1</v>
      </c>
      <c r="E33" s="38" t="str">
        <f aca="false">'Video Ideas'!K64</f>
        <v>Yes</v>
      </c>
    </row>
    <row r="36" customFormat="false" ht="15" hidden="false" customHeight="false" outlineLevel="0" collapsed="false">
      <c r="A36" s="21" t="s">
        <v>203</v>
      </c>
      <c r="B36" s="21"/>
      <c r="C36" s="21"/>
      <c r="D36" s="21"/>
      <c r="E36" s="21"/>
    </row>
    <row r="37" customFormat="false" ht="15" hidden="false" customHeight="false" outlineLevel="0" collapsed="false">
      <c r="A37" s="36" t="s">
        <v>3</v>
      </c>
      <c r="B37" s="36" t="s">
        <v>1</v>
      </c>
      <c r="C37" s="36" t="s">
        <v>200</v>
      </c>
      <c r="D37" s="36" t="s">
        <v>201</v>
      </c>
      <c r="E37" s="36" t="s">
        <v>202</v>
      </c>
    </row>
    <row r="38" customFormat="false" ht="15" hidden="false" customHeight="false" outlineLevel="0" collapsed="false">
      <c r="A38" s="37" t="str">
        <f aca="false">'Video Ideas'!D38</f>
        <v>Eurostar pack delivery</v>
      </c>
      <c r="B38" s="38" t="str">
        <f aca="false">'Video Ideas'!B38</f>
        <v>Humor &amp; Sketches</v>
      </c>
      <c r="C38" s="38" t="n">
        <f aca="false">'Video Ideas'!H38</f>
        <v>8</v>
      </c>
      <c r="D38" s="38" t="n">
        <f aca="false">'Video Ideas'!I38</f>
        <v>4</v>
      </c>
      <c r="E38" s="38" t="str">
        <f aca="false">'Video Ideas'!K38</f>
        <v>Yes</v>
      </c>
    </row>
    <row r="39" customFormat="false" ht="15" hidden="false" customHeight="false" outlineLevel="0" collapsed="false">
      <c r="A39" s="37" t="str">
        <f aca="false">'Video Ideas'!D43</f>
        <v>Treasure hunt #1 - Hide (Parc des Princes area)</v>
      </c>
      <c r="B39" s="38" t="str">
        <f aca="false">'Video Ideas'!B43</f>
        <v>Humor &amp; Sketches</v>
      </c>
      <c r="C39" s="38" t="n">
        <f aca="false">'Video Ideas'!H43</f>
        <v>9</v>
      </c>
      <c r="D39" s="38" t="n">
        <f aca="false">'Video Ideas'!I43</f>
        <v>4</v>
      </c>
      <c r="E39" s="38" t="str">
        <f aca="false">'Video Ideas'!K43</f>
        <v>Yes</v>
      </c>
    </row>
    <row r="40" customFormat="false" ht="23.85" hidden="false" customHeight="false" outlineLevel="0" collapsed="false">
      <c r="A40" s="37" t="str">
        <f aca="false">'Video Ideas'!D45</f>
        <v>Treasure hunt #2 - Hide (Champs-Elysees sports store)</v>
      </c>
      <c r="B40" s="38" t="str">
        <f aca="false">'Video Ideas'!B45</f>
        <v>Humor &amp; Sketches</v>
      </c>
      <c r="C40" s="38" t="n">
        <f aca="false">'Video Ideas'!H45</f>
        <v>9</v>
      </c>
      <c r="D40" s="38" t="n">
        <f aca="false">'Video Ideas'!I45</f>
        <v>4</v>
      </c>
      <c r="E40" s="38" t="str">
        <f aca="false">'Video Ideas'!K45</f>
        <v>Yes</v>
      </c>
    </row>
    <row r="41" customFormat="false" ht="15" hidden="false" customHeight="false" outlineLevel="0" collapsed="false">
      <c r="A41" s="37" t="str">
        <f aca="false">'Video Ideas'!D47</f>
        <v>Treasure hunt #3 - Hide (football-themed cafe/bar)</v>
      </c>
      <c r="B41" s="38" t="str">
        <f aca="false">'Video Ideas'!B47</f>
        <v>Humor &amp; Sketches</v>
      </c>
      <c r="C41" s="38" t="n">
        <f aca="false">'Video Ideas'!H47</f>
        <v>9</v>
      </c>
      <c r="D41" s="38" t="n">
        <f aca="false">'Video Ideas'!I47</f>
        <v>4</v>
      </c>
      <c r="E41" s="38" t="str">
        <f aca="false">'Video Ideas'!K47</f>
        <v>Yes</v>
      </c>
    </row>
    <row r="42" customFormat="false" ht="15" hidden="false" customHeight="false" outlineLevel="0" collapsed="false">
      <c r="A42" s="37" t="str">
        <f aca="false">'Video Ideas'!D69</f>
        <v>Pack opening - on the Eurostar</v>
      </c>
      <c r="B42" s="38" t="str">
        <f aca="false">'Video Ideas'!B69</f>
        <v>Pack Opening Series</v>
      </c>
      <c r="C42" s="38" t="n">
        <f aca="false">'Video Ideas'!H69</f>
        <v>8</v>
      </c>
      <c r="D42" s="38" t="n">
        <f aca="false">'Video Ideas'!I69</f>
        <v>4</v>
      </c>
      <c r="E42" s="38" t="str">
        <f aca="false">'Video Ideas'!K69</f>
        <v>Yes</v>
      </c>
    </row>
  </sheetData>
  <mergeCells count="5">
    <mergeCell ref="A1:E1"/>
    <mergeCell ref="A3:B3"/>
    <mergeCell ref="A10:D10"/>
    <mergeCell ref="A20:E20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2026-06-15T20:34:02Z</dcterms:created>
  <dc:creator>openpyxl</dc:creator>
  <dc:description/>
  <dc:language>en-US</dc:language>
  <cp:lastModifiedBy/>
  <dcterms:modified xsi:type="dcterms:W3CDTF">2026-06-15T20:34:02Z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