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deo Ideas" sheetId="1" state="visible" r:id="rId3"/>
    <sheet name="Executive Summary" sheetId="2" state="visible" r:id="rId4"/>
  </sheets>
  <definedNames>
    <definedName function="false" hidden="true" localSheetId="0" name="_xlnm._FilterDatabase" vbProcedure="false">'Video Ideas'!$A$1:$Q$68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<sst xmlns="http://schemas.openxmlformats.org/spreadsheetml/2006/main" count="682" uniqueCount="286">
  <si>
    <t xml:space="preserve">ID</t>
  </si>
  <si>
    <t xml:space="preserve">Theme</t>
  </si>
  <si>
    <t xml:space="preserve">Sub-theme</t>
  </si>
  <si>
    <t xml:space="preserve">Video Idea</t>
  </si>
  <si>
    <t xml:space="preserve">Description / Format</t>
  </si>
  <si>
    <t xml:space="preserve">Relevance (1-5)</t>
  </si>
  <si>
    <t xml:space="preserve">Virality (1-5)</t>
  </si>
  <si>
    <t xml:space="preserve">Priority Score (/10)</t>
  </si>
  <si>
    <t xml:space="preserve">Complexity (1-5)</t>
  </si>
  <si>
    <t xml:space="preserve">Est. Production Time</t>
  </si>
  <si>
    <t xml:space="preserve">Face Cam</t>
  </si>
  <si>
    <t xml:space="preserve">Status</t>
  </si>
  <si>
    <t xml:space="preserve">Post Date</t>
  </si>
  <si>
    <t xml:space="preserve">Time</t>
  </si>
  <si>
    <t xml:space="preserve">Hook (opening line)</t>
  </si>
  <si>
    <t xml:space="preserve">Caption (post description)</t>
  </si>
  <si>
    <t xml:space="preserve">Music / Audio</t>
  </si>
  <si>
    <t xml:space="preserve">Brand &amp; Promo</t>
  </si>
  <si>
    <t xml:space="preserve">App launch</t>
  </si>
  <si>
    <t xml:space="preserve">Hero promo video</t>
  </si>
  <si>
    <t xml:space="preserve">Explain Swappanini on camera: track every sticker, find doubles, complete your album with collectors worldwide</t>
  </si>
  <si>
    <t xml:space="preserve">30-45 min</t>
  </si>
  <si>
    <t xml:space="preserve">Yes</t>
  </si>
  <si>
    <t xml:space="preserve">Idea</t>
  </si>
  <si>
    <t xml:space="preserve">16/07</t>
  </si>
  <si>
    <t xml:space="preserve">9h</t>
  </si>
  <si>
    <t xml:space="preserve">You collect Panini World Cup 2026? This is the app you need 👀</t>
  </si>
  <si>
    <t xml:space="preserve">Track every sticker. Find your doubles. Complete your album — with collectors around the world 🌍
Smart matching. Free. No credit card. No money exchanged.
→ swappanini.com
#Swappanini #Panini2026 #WorldCup2026 #PaniniAlbum #StickerSwap</t>
  </si>
  <si>
    <t xml:space="preserve">Build-up / reveal trending sound (suspense drop)</t>
  </si>
  <si>
    <t xml:space="preserve">Community concept</t>
  </si>
  <si>
    <t xml:space="preserve">"Collective album" video</t>
  </si>
  <si>
    <t xml:space="preserve">Show the community swap experience — multiple albums completing each other visually</t>
  </si>
  <si>
    <t xml:space="preserve">Optional</t>
  </si>
  <si>
    <t xml:space="preserve">29/06</t>
  </si>
  <si>
    <t xml:space="preserve">18h</t>
  </si>
  <si>
    <t xml:space="preserve">Collection Journey</t>
  </si>
  <si>
    <t xml:space="preserve">Best lineup</t>
  </si>
  <si>
    <t xml:space="preserve">My current best XI</t>
  </si>
  <si>
    <t xml:space="preserve">Best starting XI built only from stickers currently owned — update as collection grows</t>
  </si>
  <si>
    <t xml:space="preserve">10-15 min</t>
  </si>
  <si>
    <t xml:space="preserve">20/06</t>
  </si>
  <si>
    <t xml:space="preserve">21h</t>
  </si>
  <si>
    <t xml:space="preserve">Tips &amp; tricks</t>
  </si>
  <si>
    <t xml:space="preserve">Coca-Cola pack-opening trick</t>
  </si>
  <si>
    <t xml:space="preserve">Lifehack to 'control' which sticker comes out using a bottle — viral format</t>
  </si>
  <si>
    <t xml:space="preserve">&lt;1 min</t>
  </si>
  <si>
    <t xml:space="preserve">No</t>
  </si>
  <si>
    <t xml:space="preserve">25/06</t>
  </si>
  <si>
    <t xml:space="preserve">13h</t>
  </si>
  <si>
    <t xml:space="preserve">Sticker placement tutorial + my fails</t>
  </si>
  <si>
    <t xml:space="preserve">How to glue stickers properly + humorous segment of your own badly-placed ones</t>
  </si>
  <si>
    <t xml:space="preserve">23/06</t>
  </si>
  <si>
    <t xml:space="preserve">Collection showcase</t>
  </si>
  <si>
    <t xml:space="preserve">All my crests/badges</t>
  </si>
  <si>
    <t xml:space="preserve">Showcase of the full crest/badge page of the album</t>
  </si>
  <si>
    <t xml:space="preserve">Comedy/Showcase</t>
  </si>
  <si>
    <t xml:space="preserve">"Payday = packs" haul</t>
  </si>
  <si>
    <t xml:space="preserve">Already filmed — reframed as 'when you get paid and spend it all on packs' comedy format</t>
  </si>
  <si>
    <t xml:space="preserve">Ready (0 min)</t>
  </si>
  <si>
    <t xml:space="preserve">Ready to post</t>
  </si>
  <si>
    <t xml:space="preserve">18/06</t>
  </si>
  <si>
    <t xml:space="preserve">Progress milestones</t>
  </si>
  <si>
    <t xml:space="preserve">Album completion: 50%</t>
  </si>
  <si>
    <t xml:space="preserve">Short milestone update — album 50% complete. Already at this level — post ASAP</t>
  </si>
  <si>
    <t xml:space="preserve">17/06</t>
  </si>
  <si>
    <t xml:space="preserve">My Panini album is already 50% complete 👀 halfway there!</t>
  </si>
  <si>
    <t xml:space="preserve">50% done — and I still need YOUR doubles to finish it 🔄
Track your own progress + find swap matches at swappanini.com ⬆️
#PaniniAlbum #WorldCup2026 #Panini2026 #AlbumCompletion #Swappanini</t>
  </si>
  <si>
    <t xml:space="preserve">Upbeat achievement sound / trending 'level up' audio</t>
  </si>
  <si>
    <t xml:space="preserve">Album completion: 65%</t>
  </si>
  <si>
    <t xml:space="preserve">Short milestone update — album 65% complete</t>
  </si>
  <si>
    <t xml:space="preserve">27/06</t>
  </si>
  <si>
    <t xml:space="preserve">Album completion: 75%</t>
  </si>
  <si>
    <t xml:space="preserve">Short milestone update — album 75% complete</t>
  </si>
  <si>
    <t xml:space="preserve">04/07</t>
  </si>
  <si>
    <t xml:space="preserve">Album completion: 80%</t>
  </si>
  <si>
    <t xml:space="preserve">Short milestone update — album 80% complete</t>
  </si>
  <si>
    <t xml:space="preserve">07/07</t>
  </si>
  <si>
    <t xml:space="preserve">Album completion: 85%</t>
  </si>
  <si>
    <t xml:space="preserve">Short milestone update — album 85% complete</t>
  </si>
  <si>
    <t xml:space="preserve">11/07</t>
  </si>
  <si>
    <t xml:space="preserve">Album completion: 90%</t>
  </si>
  <si>
    <t xml:space="preserve">Short milestone update — album 90% complete</t>
  </si>
  <si>
    <t xml:space="preserve">13/07</t>
  </si>
  <si>
    <t xml:space="preserve">Album completion: 95%</t>
  </si>
  <si>
    <t xml:space="preserve">Short milestone update — album 95% complete</t>
  </si>
  <si>
    <t xml:space="preserve">14/07</t>
  </si>
  <si>
    <t xml:space="preserve">Album completion: 100% (celebration)</t>
  </si>
  <si>
    <t xml:space="preserve">The big reveal — album finally complete, celebration format</t>
  </si>
  <si>
    <t xml:space="preserve">15-20 min</t>
  </si>
  <si>
    <t xml:space="preserve">19/07</t>
  </si>
  <si>
    <t xml:space="preserve">Visual effects</t>
  </si>
  <si>
    <t xml:space="preserve">Slow-motion: player walks to his slot</t>
  </si>
  <si>
    <t xml:space="preserve">Slow-mo / visual effect where a 'player' physically travels to his sticker slot in the album</t>
  </si>
  <si>
    <t xml:space="preserve">24/06</t>
  </si>
  <si>
    <t xml:space="preserve">Player content (chants)</t>
  </si>
  <si>
    <t xml:space="preserve">Chant video: Mohamed Salah</t>
  </si>
  <si>
    <t xml:space="preserve">Sticker reveal for Salah (Egypt/Liverpool) set to the iconic 'Mo Salah' terrace chant — post before Egypt vs NZ (Jun 22 3am Paris)</t>
  </si>
  <si>
    <t xml:space="preserve">21/06</t>
  </si>
  <si>
    <t xml:space="preserve">19h</t>
  </si>
  <si>
    <t xml:space="preserve">The Salah sticker — with THE chant that goes with it 🎵</t>
  </si>
  <si>
    <t xml:space="preserve">Mo Salah, Mo Salah, running down the wing 🎶
Egypt play New Zealand tomorrow — who has Salah as a double?
Swap at swappanini.com 🌍
#MoSalah #Egypt #WorldCup2026 #PaniniChant #Swappanini</t>
  </si>
  <si>
    <t xml:space="preserve">Mo Salah — The Egyptian King (original Liverpool terrace chant)</t>
  </si>
  <si>
    <t xml:space="preserve">Chant video: Erling Haaland</t>
  </si>
  <si>
    <t xml:space="preserve">Sticker reveal for Haaland (Norway/Man City) set to his cult terrace chant — post before Norway vs France (Jun 26 21h)</t>
  </si>
  <si>
    <t xml:space="preserve">Chant video: Martin Odegaard</t>
  </si>
  <si>
    <t xml:space="preserve">Sticker reveal for Odegaard (Norway/Arsenal) set to the 'Ode-gaard' chant — post before Norway vs Senegal (Jun 23 2am Paris)</t>
  </si>
  <si>
    <t xml:space="preserve">22/06</t>
  </si>
  <si>
    <t xml:space="preserve">Chant video: John McGinn</t>
  </si>
  <si>
    <t xml:space="preserve">Sticker reveal for McGinn (Scotland/Aston Villa) — cult-favourite chant — post Jun 19 9h (Scotland-Morocco day)</t>
  </si>
  <si>
    <t xml:space="preserve">10/07</t>
  </si>
  <si>
    <t xml:space="preserve">The McGinn sticker — with the chant that goes with it 🎵🏴󠁧󠁢󠁳󠁣󠁴󠁿</t>
  </si>
  <si>
    <t xml:space="preserve">Come on John McGinn! Scotland vs Morocco tonight 🏴󠁧󠁢󠁳󠁣󠁴󠁿🇲🇦
Who has McGinn as a double? Swap at swappanini.com
#JohnMcGinn #Scotland #WorldCup2026 #PaniniChant #Swappanini</t>
  </si>
  <si>
    <t xml:space="preserve">John McGinn chant — original Scotland terrace audio</t>
  </si>
  <si>
    <t xml:space="preserve">Chant video: Virgil van Dijk</t>
  </si>
  <si>
    <t xml:space="preserve">Sticker reveal for Van Dijk (Netherlands/Liverpool) — the captain's chant</t>
  </si>
  <si>
    <t xml:space="preserve">26/06</t>
  </si>
  <si>
    <t xml:space="preserve">Chant video: Granit Xhaka</t>
  </si>
  <si>
    <t xml:space="preserve">Sticker reveal for Xhaka (Switzerland) — the iconic 'Xhaka, woah' chant</t>
  </si>
  <si>
    <t xml:space="preserve">02/07</t>
  </si>
  <si>
    <t xml:space="preserve">Chant video: Andrew Robertson</t>
  </si>
  <si>
    <t xml:space="preserve">Sticker reveal for Robertson (Scotland/Liverpool) — post Jun 19 13h (pre Scotland-Morocco) or Jun 24 18h (pre Scotland-Brazil)</t>
  </si>
  <si>
    <t xml:space="preserve">Robertson sticker — with the chant 🎵🏴󠁧󠁢󠁳󠁣󠁴󠁿</t>
  </si>
  <si>
    <t xml:space="preserve">Andrew Robertson — Scotland's captain tonight vs Morocco 🏴󠁧󠁢󠁳󠁣󠁴󠁿
Swap your doubles at swappanini.com 🌍
#Robertson #Scotland #WorldCup2026 #PaniniChant #Swappanini</t>
  </si>
  <si>
    <t xml:space="preserve">Robertson fan chant — original Scotland terrace audio</t>
  </si>
  <si>
    <t xml:space="preserve">Country Series (Complete Squad)</t>
  </si>
  <si>
    <t xml:space="preserve">Team set</t>
  </si>
  <si>
    <t xml:space="preserve">Complete squad: Brazil</t>
  </si>
  <si>
    <t xml:space="preserve">Lay out every Brazil sticker — post Jun 20 (day after Brazil-Haiti) or Jun 24 pre Scotland-Brazil</t>
  </si>
  <si>
    <t xml:space="preserve">Complete squad: France</t>
  </si>
  <si>
    <t xml:space="preserve">Lay out every France sticker — post on a France match day (Jun 22 or Jun 26)</t>
  </si>
  <si>
    <t xml:space="preserve">Complete squad: England</t>
  </si>
  <si>
    <t xml:space="preserve">Lay out every England sticker — post Jun 17 pre England-Croatia</t>
  </si>
  <si>
    <t xml:space="preserve">🏴󠁧󠁢󠁥󠁮󠁧󠁿 England tonight — here's my full England squad in the album</t>
  </si>
  <si>
    <t xml:space="preserve">England vs Croatia — every Three Lions sticker laid out 🏴󠁧󠁢󠁥󠁮󠁧󠁿
Missing any? Swap at swappanini.com 🌍
#EnglandVsCroatia #ThreeLions #WorldCup2026 #Panini #Swappanini</t>
  </si>
  <si>
    <t xml:space="preserve">Three Lions (It's Coming Home) — ≤15s clip</t>
  </si>
  <si>
    <t xml:space="preserve">Complete squad: Spain</t>
  </si>
  <si>
    <t xml:space="preserve">Lay out every Spain sticker</t>
  </si>
  <si>
    <t xml:space="preserve">Complete squad: Uruguay</t>
  </si>
  <si>
    <t xml:space="preserve">Lay out every Uruguay sticker</t>
  </si>
  <si>
    <t xml:space="preserve">Complete squad: Colombia</t>
  </si>
  <si>
    <t xml:space="preserve">Lay out every Colombia sticker</t>
  </si>
  <si>
    <t xml:space="preserve">17/07</t>
  </si>
  <si>
    <t xml:space="preserve">Complete squad: Scotland</t>
  </si>
  <si>
    <t xml:space="preserve">Lay out every Scotland sticker — post Jun 19 18h pre Scotland-Morocco</t>
  </si>
  <si>
    <t xml:space="preserve">19/06</t>
  </si>
  <si>
    <t xml:space="preserve">🏴󠁧󠁢󠁳󠁣󠁴󠁿 Scotland vs Morocco tonight — here's my full Scotland squad in the album</t>
  </si>
  <si>
    <t xml:space="preserve">Come on Scotland! 🔵⚪ Every sticker laid out — who's still missing from yours?
Swap doubles at swappanini.com 🌍
#ScotlandVsMorocco #WorldCup2026 #Panini #Scotland #Swappanini</t>
  </si>
  <si>
    <t xml:space="preserve">Flower of Scotland — short clip ≤15s</t>
  </si>
  <si>
    <t xml:space="preserve">Complete squad: Ecuador</t>
  </si>
  <si>
    <t xml:space="preserve">Lay out every Ecuador sticker — ties into 'send him Ecuador' joke</t>
  </si>
  <si>
    <t xml:space="preserve">05/07</t>
  </si>
  <si>
    <t xml:space="preserve">Complete squad: Panama</t>
  </si>
  <si>
    <t xml:space="preserve">Lay out every Panama sticker — novelty: first-ever World Cup squad</t>
  </si>
  <si>
    <t xml:space="preserve">Complete squad: Bosnia</t>
  </si>
  <si>
    <t xml:space="preserve">Lay out every Bosnia sticker</t>
  </si>
  <si>
    <t xml:space="preserve">09/07</t>
  </si>
  <si>
    <t xml:space="preserve">Complete squad: DR Congo</t>
  </si>
  <si>
    <t xml:space="preserve">Lay out every DR Congo sticker — historic qualification story</t>
  </si>
  <si>
    <t xml:space="preserve">03/07</t>
  </si>
  <si>
    <t xml:space="preserve">Humor &amp; Sketches</t>
  </si>
  <si>
    <t xml:space="preserve">Delivery parody</t>
  </si>
  <si>
    <t xml:space="preserve">Sticker pack "Uber Eats" delivery</t>
  </si>
  <si>
    <t xml:space="preserve">Sketch: pack delivered like a food order, with a delivery driver cameo</t>
  </si>
  <si>
    <t xml:space="preserve">15/07</t>
  </si>
  <si>
    <t xml:space="preserve">Eurostar pack delivery</t>
  </si>
  <si>
    <t xml:space="preserve">Same delivery gag set on/around the Eurostar — international swap angle</t>
  </si>
  <si>
    <t xml:space="preserve">45-60 min</t>
  </si>
  <si>
    <t xml:space="preserve">Couple sketch</t>
  </si>
  <si>
    <t xml:space="preserve">"Wrong bag" shopping swap</t>
  </si>
  <si>
    <t xml:space="preserve">Already filmed — partner hands you a garment; you open it and it's a sticker pack</t>
  </si>
  <si>
    <t xml:space="preserve">Trend audio</t>
  </si>
  <si>
    <t xml:space="preserve">"I don't cook, I don't clean" (...I collect stickers)</t>
  </si>
  <si>
    <t xml:space="preserve">Adapt the trending audio to the sticker collector persona</t>
  </si>
  <si>
    <t xml:space="preserve">01/07</t>
  </si>
  <si>
    <t xml:space="preserve">"Please send him Ecuador!"</t>
  </si>
  <si>
    <t xml:space="preserve">Couple at Ecuador reference; punchline — she begs for the missing Ecuador sticker</t>
  </si>
  <si>
    <t xml:space="preserve">Food/travel trend</t>
  </si>
  <si>
    <t xml:space="preserve">7 countries / 7 meals</t>
  </si>
  <si>
    <t xml:space="preserve">World Cup-themed food tour — 7 national dishes in one video. Flagship content.</t>
  </si>
  <si>
    <t xml:space="preserve">1h+</t>
  </si>
  <si>
    <t xml:space="preserve">Travel trend</t>
  </si>
  <si>
    <t xml:space="preserve">Player tour guide in Paris</t>
  </si>
  <si>
    <t xml:space="preserve">Reverse the 'bestie takes you everywhere' trend — you show Paris to a 'player'</t>
  </si>
  <si>
    <t xml:space="preserve">12/07</t>
  </si>
  <si>
    <t xml:space="preserve">Street parody</t>
  </si>
  <si>
    <t xml:space="preserve">"Pack dealer" at the bottom of the block</t>
  </si>
  <si>
    <t xml:space="preserve">Street dealer aesthetic parody, but 'dealing' sticker packs</t>
  </si>
  <si>
    <t xml:space="preserve">Community &amp; Growth Loops</t>
  </si>
  <si>
    <t xml:space="preserve">Treasure hunt</t>
  </si>
  <si>
    <t xml:space="preserve">Treasure hunt #1 — Hide (Parc des Princes area)</t>
  </si>
  <si>
    <t xml:space="preserve">Hide a rare sticker near a Paris football landmark — visual clue only, no location named</t>
  </si>
  <si>
    <t xml:space="preserve">10h</t>
  </si>
  <si>
    <t xml:space="preserve">Treasure hunt #1 — Reveal</t>
  </si>
  <si>
    <t xml:space="preserve">48h later: exact clue dropped via Instagram Story; recap + reward for the finder</t>
  </si>
  <si>
    <t xml:space="preserve">Treasure hunt #2 — Hide (Champs-Elysées sports store)</t>
  </si>
  <si>
    <t xml:space="preserve">Hide a rare sticker near a major Paris sports retailer — visual clue only</t>
  </si>
  <si>
    <t xml:space="preserve">28/06</t>
  </si>
  <si>
    <t xml:space="preserve">Treasure hunt #2 — Reveal</t>
  </si>
  <si>
    <t xml:space="preserve">48h later: exact clue via Instagram Story; recap + reward</t>
  </si>
  <si>
    <t xml:space="preserve">30/06</t>
  </si>
  <si>
    <t xml:space="preserve">Treasure hunt #3 — Hide (football-themed cafe/bar)</t>
  </si>
  <si>
    <t xml:space="preserve">Hide a rare sticker at a football-themed Paris venue — visual clue only</t>
  </si>
  <si>
    <t xml:space="preserve">Treasure hunt #3 — Reveal</t>
  </si>
  <si>
    <t xml:space="preserve">Doubles &amp; Swap Demo</t>
  </si>
  <si>
    <t xml:space="preserve">Lineup showcase</t>
  </si>
  <si>
    <t xml:space="preserve">"My best XI in doubles"</t>
  </si>
  <si>
    <t xml:space="preserve">Starting XI built entirely from duplicate stickers — shows swap inventory at a glance</t>
  </si>
  <si>
    <t xml:space="preserve">Call to action</t>
  </si>
  <si>
    <t xml:space="preserve">"Exchange alert" live matching</t>
  </si>
  <si>
    <t xml:space="preserve">List your doubles on camera, ask viewers to comment what they need — match live in comments → swappanini.com</t>
  </si>
  <si>
    <t xml:space="preserve">Inventory</t>
  </si>
  <si>
    <t xml:space="preserve">All my doubles</t>
  </si>
  <si>
    <t xml:space="preserve">Full showcase of every duplicate sticker you own</t>
  </si>
  <si>
    <t xml:space="preserve">Before/after</t>
  </si>
  <si>
    <t xml:space="preserve">Real swap with a work colleague</t>
  </si>
  <si>
    <t xml:space="preserve">Real swap filmed with a colleague — before/after showing both collections completed. Film Jun 17.</t>
  </si>
  <si>
    <t xml:space="preserve">20-30 min</t>
  </si>
  <si>
    <t xml:space="preserve">Platform demo</t>
  </si>
  <si>
    <t xml:space="preserve">Quick swap demo — filmed on the spot</t>
  </si>
  <si>
    <t xml:space="preserve">Ultra-fast app demo: screen-record the swap flow while doing the real colleague swap on Jun 17. Complexity = 1 (no editing needed).</t>
  </si>
  <si>
    <t xml:space="preserve">&lt;5 min</t>
  </si>
  <si>
    <t xml:space="preserve">We just did a real Panini swap using the app — here's how it works in 30 seconds</t>
  </si>
  <si>
    <t xml:space="preserve">Track stickers. Match doubles. Swap 🔄
This is what completing your album looks like with swappanini.com 🌍
#Swappanini #PaniniSwap #WorldCup2026 #Panini2026 #StickerCollector</t>
  </si>
  <si>
    <t xml:space="preserve">Upbeat tech demo music / trending notification sound</t>
  </si>
  <si>
    <t xml:space="preserve">Pack Opening Series</t>
  </si>
  <si>
    <t xml:space="preserve">Live reaction</t>
  </si>
  <si>
    <t xml:space="preserve">Pack Opening #9 — live during France-Senegal</t>
  </si>
  <si>
    <t xml:space="preserve">Open a pack LIVE during France vs Senegal (Jun 16 21h). First in the new numbered series.</t>
  </si>
  <si>
    <t xml:space="preserve">20 min (match-timed)</t>
  </si>
  <si>
    <t xml:space="preserve">16/06</t>
  </si>
  <si>
    <t xml:space="preserve">Pack Opening #9 — opening packs LIVE during France vs Senegal 🇫🇷🎴</t>
  </si>
  <si>
    <t xml:space="preserve">Match 1 for Les Bleus → pack 1 for the album 🤞
Got any of my doubles? Swap for free → swappanini.com 🌍
#FranceSenegal #WorldCup2026 #Panini #PackOpening #Swappanini</t>
  </si>
  <si>
    <t xml:space="preserve">Stadium crowd noise / 'Allez les Bleus' chant</t>
  </si>
  <si>
    <t xml:space="preserve">Pack Opening #10</t>
  </si>
  <si>
    <t xml:space="preserve">Pre-filmed and edited — ready to publish</t>
  </si>
  <si>
    <t xml:space="preserve">22h</t>
  </si>
  <si>
    <t xml:space="preserve">Pack Opening #10 — opening during England vs Croatia tonight 🏴󠁧󠁢󠁥󠁮󠁧󠁿</t>
  </si>
  <si>
    <t xml:space="preserve">Pack #10 — who did I pull? 👀
Got doubles? Swap them at swappanini.com 🌍
#EnglandVsCroatia #WorldCup2026 #Panini #PackOpening #Swappanini</t>
  </si>
  <si>
    <t xml:space="preserve">Upbeat trending TikTok pack opening sound</t>
  </si>
  <si>
    <t xml:space="preserve">Star player</t>
  </si>
  <si>
    <t xml:space="preserve">Pack Opening #11 — Messi themed</t>
  </si>
  <si>
    <t xml:space="preserve">Already filmed — pack opening framed around pulling a Messi card. Post early (Jun 18 9h).</t>
  </si>
  <si>
    <t xml:space="preserve">Pack Opening #11 — I pulled MESSI 🐐</t>
  </si>
  <si>
    <t xml:space="preserve">The GOAT is in the album 🐐✅
Who still needs Messi? Swap at swappanini.com 🌍
#Messi #WorldCup2026 #Panini #PackOpening #Swappanini</t>
  </si>
  <si>
    <t xml:space="preserve">GOAT sound effect / dramatic reveal trending audio</t>
  </si>
  <si>
    <t xml:space="preserve">Pack Opening #12 — live during Scotland-Morocco</t>
  </si>
  <si>
    <t xml:space="preserve">Open a pack LIVE during Scotland vs Morocco (Jun 19 23h).</t>
  </si>
  <si>
    <t xml:space="preserve">23h</t>
  </si>
  <si>
    <t xml:space="preserve">Pack Opening #12 — opening LIVE during Scotland vs Morocco 🏴󠁧󠁢󠁳󠁣󠁴󠁿🇲🇦</t>
  </si>
  <si>
    <t xml:space="preserve">Match night pack opening — who did I pull? 👀
Swap your doubles at swappanini.com 🌍
#ScotlandMorocco #WorldCup2026 #Panini #PackOpening #Swappanini</t>
  </si>
  <si>
    <t xml:space="preserve">Scotland match atmosphere / crowd noise</t>
  </si>
  <si>
    <t xml:space="preserve">Pack Opening #13</t>
  </si>
  <si>
    <t xml:space="preserve">Pack Opening #14</t>
  </si>
  <si>
    <t xml:space="preserve">Home edit batch</t>
  </si>
  <si>
    <t xml:space="preserve">Pack Opening #15 (home, CapCut)</t>
  </si>
  <si>
    <t xml:space="preserve">Film/edit one standard pack-opening at home</t>
  </si>
  <si>
    <t xml:space="preserve">Pack Opening #16 (home, CapCut)</t>
  </si>
  <si>
    <t xml:space="preserve">Pack Opening #17 (home, CapCut)</t>
  </si>
  <si>
    <t xml:space="preserve">Recurring bit</t>
  </si>
  <si>
    <t xml:space="preserve">Pack Opening #18 — Fake pack gag</t>
  </si>
  <si>
    <t xml:space="preserve">Continue the recurring fake-pack prank format</t>
  </si>
  <si>
    <t xml:space="preserve">Competitive format</t>
  </si>
  <si>
    <t xml:space="preserve">Pack Opening #19 — duel</t>
  </si>
  <si>
    <t xml:space="preserve">Head-to-head pack opening vs a friend/creator — who pulls the better player</t>
  </si>
  <si>
    <t xml:space="preserve">06/07</t>
  </si>
  <si>
    <t xml:space="preserve">Travel/location</t>
  </si>
  <si>
    <t xml:space="preserve">Pack Opening #20 — on the Eurostar</t>
  </si>
  <si>
    <t xml:space="preserve">Pack opening filmed on the Eurostar</t>
  </si>
  <si>
    <t xml:space="preserve">Pack Opening #21 — in London</t>
  </si>
  <si>
    <t xml:space="preserve">Pack opening filmed in London</t>
  </si>
  <si>
    <t xml:space="preserve">Pack Opening #22 — hotel room / community meetup</t>
  </si>
  <si>
    <t xml:space="preserve">Pack opening filmed at a hotel room or community meetup</t>
  </si>
  <si>
    <t xml:space="preserve">Swappanini — Content Dashboard</t>
  </si>
  <si>
    <t xml:space="preserve">Key Stats</t>
  </si>
  <si>
    <t xml:space="preserve">Total ideas logged</t>
  </si>
  <si>
    <t xml:space="preserve">Average Priority (/10)</t>
  </si>
  <si>
    <t xml:space="preserve">Ready to post NOW</t>
  </si>
  <si>
    <t xml:space="preserve">Posts scheduled (date set)</t>
  </si>
  <si>
    <t xml:space="preserve">Quick wins (Priority≥9, Complexity=1)</t>
  </si>
  <si>
    <t xml:space="preserve">Breakdown by Theme</t>
  </si>
  <si>
    <t xml:space="preserve"># Ideas</t>
  </si>
  <si>
    <t xml:space="preserve">Avg Priority</t>
  </si>
  <si>
    <t xml:space="preserve">Avg Complexity</t>
  </si>
  <si>
    <t xml:space="preserve">Quick Wins — Post First (Priority ≥9, Complexity =1)</t>
  </si>
  <si>
    <t xml:space="preserve">Priority</t>
  </si>
  <si>
    <t xml:space="preserve">Complexity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</si>
</sst>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1B3B1A"/>
      <name val="Arial"/>
      <family val="0"/>
      <charset val="1"/>
    </font>
    <font>
      <b val="true"/>
      <sz val="14"/>
      <color rgb="FF1B3B1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3B1A"/>
        <bgColor rgb="FF333300"/>
      </patternFill>
    </fill>
    <fill>
      <patternFill patternType="solid">
        <fgColor rgb="FFE8F5E9"/>
        <bgColor rgb="FFE0F2F1"/>
      </patternFill>
    </fill>
    <fill>
      <patternFill patternType="solid">
        <fgColor rgb="FFAAFF00"/>
        <bgColor rgb="FFFFFF00"/>
      </patternFill>
    </fill>
    <fill>
      <patternFill patternType="solid">
        <fgColor rgb="FFE3F2FD"/>
        <bgColor rgb="FFE0F2F1"/>
      </patternFill>
    </fill>
    <fill>
      <patternFill patternType="solid">
        <fgColor rgb="FFFFF3E0"/>
        <bgColor rgb="FFFFFDE7"/>
      </patternFill>
    </fill>
    <fill>
      <patternFill patternType="solid">
        <fgColor rgb="FFFCE4EC"/>
        <bgColor rgb="FFEDE7F6"/>
      </patternFill>
    </fill>
    <fill>
      <patternFill patternType="solid">
        <fgColor rgb="FFE0F2F1"/>
        <bgColor rgb="FFE3F2FD"/>
      </patternFill>
    </fill>
    <fill>
      <patternFill patternType="solid">
        <fgColor rgb="FFEDE7F6"/>
        <bgColor rgb="FFFCE4EC"/>
      </patternFill>
    </fill>
    <fill>
      <patternFill patternType="solid">
        <fgColor rgb="FFFFFDE7"/>
        <bgColor rgb="FFFFF3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1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1B3B1A"/>
          <bgColor rgb="FF000000"/>
        </patternFill>
      </fill>
    </dxf>
    <dxf>
      <fill>
        <patternFill patternType="solid">
          <fgColor rgb="FFE0F2F1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FFFDE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97CD7E"/>
          <bgColor rgb="FF000000"/>
        </patternFill>
      </fill>
    </dxf>
    <dxf>
      <fill>
        <patternFill patternType="solid">
          <fgColor rgb="FFCBDC81"/>
          <bgColor rgb="FF000000"/>
        </patternFill>
      </fill>
    </dxf>
    <dxf>
      <fill>
        <patternFill patternType="solid">
          <fgColor rgb="FFFCBF7B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B1D47F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CAA78"/>
          <bgColor rgb="FF000000"/>
        </patternFill>
      </fill>
    </dxf>
    <dxf>
      <fill>
        <patternFill patternType="solid">
          <fgColor rgb="FFAA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DE7"/>
      <rgbColor rgb="FFE0F2F1"/>
      <rgbColor rgb="FF660066"/>
      <rgbColor rgb="FFFF8080"/>
      <rgbColor rgb="FF0066CC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3E0"/>
      <rgbColor rgb="FF99CCFF"/>
      <rgbColor rgb="FFFF99CC"/>
      <rgbColor rgb="FFCC99FF"/>
      <rgbColor rgb="FFFCE4EC"/>
      <rgbColor rgb="FF3366FF"/>
      <rgbColor rgb="FF33CCCC"/>
      <rgbColor rgb="FFAAFF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3B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0"/>
    <col collapsed="false" customWidth="true" hidden="false" outlineLevel="0" max="4" min="4" style="0" width="30"/>
    <col collapsed="false" customWidth="true" hidden="false" outlineLevel="0" max="5" min="5" style="0" width="38"/>
    <col collapsed="false" customWidth="true" hidden="false" outlineLevel="0" max="9" min="6" style="0" width="9"/>
    <col collapsed="false" customWidth="true" hidden="false" outlineLevel="0" max="10" min="10" style="0" width="15"/>
    <col collapsed="false" customWidth="true" hidden="false" outlineLevel="0" max="11" min="11" style="0" width="9"/>
    <col collapsed="false" customWidth="true" hidden="false" outlineLevel="0" max="12" min="12" style="0" width="13"/>
    <col collapsed="false" customWidth="true" hidden="false" outlineLevel="0" max="13" min="13" style="0" width="9"/>
    <col collapsed="false" customWidth="true" hidden="false" outlineLevel="0" max="14" min="14" style="0" width="7"/>
    <col collapsed="false" customWidth="true" hidden="false" outlineLevel="0" max="15" min="15" style="0" width="40"/>
    <col collapsed="false" customWidth="true" hidden="false" outlineLevel="0" max="16" min="16" style="0" width="55"/>
    <col collapsed="false" customWidth="true" hidden="false" outlineLevel="0" max="17" min="17" style="0" width="38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51.75" hidden="false" customHeight="true" outlineLevel="0" collapsed="false">
      <c r="A2" s="2" t="n">
        <v>1</v>
      </c>
      <c r="B2" s="3" t="s">
        <v>17</v>
      </c>
      <c r="C2" s="3" t="s">
        <v>18</v>
      </c>
      <c r="D2" s="4" t="s">
        <v>19</v>
      </c>
      <c r="E2" s="4" t="s">
        <v>20</v>
      </c>
      <c r="F2" s="2" t="n">
        <v>5</v>
      </c>
      <c r="G2" s="2" t="n">
        <v>2</v>
      </c>
      <c r="H2" s="2" t="n">
        <f aca="false">F2+G2</f>
        <v>7</v>
      </c>
      <c r="I2" s="2" t="n">
        <v>3</v>
      </c>
      <c r="J2" s="3" t="s">
        <v>21</v>
      </c>
      <c r="K2" s="3" t="s">
        <v>22</v>
      </c>
      <c r="L2" s="3" t="s">
        <v>23</v>
      </c>
      <c r="M2" s="5" t="s">
        <v>24</v>
      </c>
      <c r="N2" s="5" t="s">
        <v>25</v>
      </c>
      <c r="O2" s="4" t="s">
        <v>26</v>
      </c>
      <c r="P2" s="4" t="s">
        <v>27</v>
      </c>
      <c r="Q2" s="4" t="s">
        <v>28</v>
      </c>
    </row>
    <row r="3" customFormat="false" ht="51.75" hidden="false" customHeight="true" outlineLevel="0" collapsed="false">
      <c r="A3" s="2" t="n">
        <v>2</v>
      </c>
      <c r="B3" s="3" t="s">
        <v>17</v>
      </c>
      <c r="C3" s="3" t="s">
        <v>29</v>
      </c>
      <c r="D3" s="4" t="s">
        <v>30</v>
      </c>
      <c r="E3" s="4" t="s">
        <v>31</v>
      </c>
      <c r="F3" s="2" t="n">
        <v>5</v>
      </c>
      <c r="G3" s="2" t="n">
        <v>3</v>
      </c>
      <c r="H3" s="2" t="n">
        <f aca="false">F3+G3</f>
        <v>8</v>
      </c>
      <c r="I3" s="2" t="n">
        <v>3</v>
      </c>
      <c r="J3" s="3" t="s">
        <v>21</v>
      </c>
      <c r="K3" s="3" t="s">
        <v>32</v>
      </c>
      <c r="L3" s="3" t="s">
        <v>23</v>
      </c>
      <c r="M3" s="5" t="s">
        <v>33</v>
      </c>
      <c r="N3" s="5" t="s">
        <v>34</v>
      </c>
      <c r="O3" s="4"/>
      <c r="P3" s="4"/>
      <c r="Q3" s="4"/>
    </row>
    <row r="4" customFormat="false" ht="51.75" hidden="false" customHeight="true" outlineLevel="0" collapsed="false">
      <c r="A4" s="6" t="n">
        <v>3</v>
      </c>
      <c r="B4" s="7" t="s">
        <v>35</v>
      </c>
      <c r="C4" s="7" t="s">
        <v>36</v>
      </c>
      <c r="D4" s="8" t="s">
        <v>37</v>
      </c>
      <c r="E4" s="8" t="s">
        <v>38</v>
      </c>
      <c r="F4" s="6" t="n">
        <v>5</v>
      </c>
      <c r="G4" s="6" t="n">
        <v>4</v>
      </c>
      <c r="H4" s="6" t="n">
        <f aca="false">F4+G4</f>
        <v>9</v>
      </c>
      <c r="I4" s="6" t="n">
        <v>1</v>
      </c>
      <c r="J4" s="7" t="s">
        <v>39</v>
      </c>
      <c r="K4" s="7" t="s">
        <v>22</v>
      </c>
      <c r="L4" s="7" t="s">
        <v>23</v>
      </c>
      <c r="M4" s="5" t="s">
        <v>40</v>
      </c>
      <c r="N4" s="5" t="s">
        <v>41</v>
      </c>
      <c r="O4" s="8"/>
      <c r="P4" s="8"/>
      <c r="Q4" s="8"/>
    </row>
    <row r="5" customFormat="false" ht="51.75" hidden="false" customHeight="true" outlineLevel="0" collapsed="false">
      <c r="A5" s="6" t="n">
        <v>4</v>
      </c>
      <c r="B5" s="7" t="s">
        <v>35</v>
      </c>
      <c r="C5" s="7" t="s">
        <v>42</v>
      </c>
      <c r="D5" s="8" t="s">
        <v>43</v>
      </c>
      <c r="E5" s="8" t="s">
        <v>44</v>
      </c>
      <c r="F5" s="6" t="n">
        <v>3</v>
      </c>
      <c r="G5" s="6" t="n">
        <v>5</v>
      </c>
      <c r="H5" s="6" t="n">
        <f aca="false">F5+G5</f>
        <v>8</v>
      </c>
      <c r="I5" s="6" t="n">
        <v>1</v>
      </c>
      <c r="J5" s="7" t="s">
        <v>45</v>
      </c>
      <c r="K5" s="7" t="s">
        <v>46</v>
      </c>
      <c r="L5" s="7" t="s">
        <v>23</v>
      </c>
      <c r="M5" s="5" t="s">
        <v>47</v>
      </c>
      <c r="N5" s="5" t="s">
        <v>48</v>
      </c>
      <c r="O5" s="8"/>
      <c r="P5" s="8"/>
      <c r="Q5" s="8"/>
    </row>
    <row r="6" customFormat="false" ht="51.75" hidden="false" customHeight="true" outlineLevel="0" collapsed="false">
      <c r="A6" s="6" t="n">
        <v>5</v>
      </c>
      <c r="B6" s="7" t="s">
        <v>35</v>
      </c>
      <c r="C6" s="7" t="s">
        <v>42</v>
      </c>
      <c r="D6" s="8" t="s">
        <v>49</v>
      </c>
      <c r="E6" s="8" t="s">
        <v>50</v>
      </c>
      <c r="F6" s="6" t="n">
        <v>3</v>
      </c>
      <c r="G6" s="6" t="n">
        <v>4</v>
      </c>
      <c r="H6" s="6" t="n">
        <f aca="false">F6+G6</f>
        <v>7</v>
      </c>
      <c r="I6" s="6" t="n">
        <v>2</v>
      </c>
      <c r="J6" s="7" t="s">
        <v>39</v>
      </c>
      <c r="K6" s="7" t="s">
        <v>32</v>
      </c>
      <c r="L6" s="7" t="s">
        <v>23</v>
      </c>
      <c r="M6" s="5" t="s">
        <v>51</v>
      </c>
      <c r="N6" s="5" t="s">
        <v>34</v>
      </c>
      <c r="O6" s="8"/>
      <c r="P6" s="8"/>
      <c r="Q6" s="8"/>
    </row>
    <row r="7" customFormat="false" ht="51.75" hidden="false" customHeight="true" outlineLevel="0" collapsed="false">
      <c r="A7" s="6" t="n">
        <v>6</v>
      </c>
      <c r="B7" s="7" t="s">
        <v>35</v>
      </c>
      <c r="C7" s="7" t="s">
        <v>52</v>
      </c>
      <c r="D7" s="8" t="s">
        <v>53</v>
      </c>
      <c r="E7" s="8" t="s">
        <v>54</v>
      </c>
      <c r="F7" s="6" t="n">
        <v>4</v>
      </c>
      <c r="G7" s="6" t="n">
        <v>2</v>
      </c>
      <c r="H7" s="6" t="n">
        <f aca="false">F7+G7</f>
        <v>6</v>
      </c>
      <c r="I7" s="6" t="n">
        <v>1</v>
      </c>
      <c r="J7" s="7" t="s">
        <v>39</v>
      </c>
      <c r="K7" s="7" t="s">
        <v>32</v>
      </c>
      <c r="L7" s="7" t="s">
        <v>23</v>
      </c>
      <c r="M7" s="5" t="s">
        <v>47</v>
      </c>
      <c r="N7" s="5" t="s">
        <v>25</v>
      </c>
      <c r="O7" s="8"/>
      <c r="P7" s="8"/>
      <c r="Q7" s="8"/>
    </row>
    <row r="8" customFormat="false" ht="51.75" hidden="false" customHeight="true" outlineLevel="0" collapsed="false">
      <c r="A8" s="6" t="n">
        <v>7</v>
      </c>
      <c r="B8" s="7" t="s">
        <v>35</v>
      </c>
      <c r="C8" s="7" t="s">
        <v>55</v>
      </c>
      <c r="D8" s="8" t="s">
        <v>56</v>
      </c>
      <c r="E8" s="8" t="s">
        <v>57</v>
      </c>
      <c r="F8" s="6" t="n">
        <v>3</v>
      </c>
      <c r="G8" s="6" t="n">
        <v>5</v>
      </c>
      <c r="H8" s="6" t="n">
        <f aca="false">F8+G8</f>
        <v>8</v>
      </c>
      <c r="I8" s="6" t="n">
        <v>1</v>
      </c>
      <c r="J8" s="7" t="s">
        <v>58</v>
      </c>
      <c r="K8" s="7" t="s">
        <v>22</v>
      </c>
      <c r="L8" s="7" t="s">
        <v>59</v>
      </c>
      <c r="M8" s="5" t="s">
        <v>60</v>
      </c>
      <c r="N8" s="5" t="s">
        <v>41</v>
      </c>
      <c r="O8" s="8"/>
      <c r="P8" s="8"/>
      <c r="Q8" s="8"/>
    </row>
    <row r="9" customFormat="false" ht="51.75" hidden="false" customHeight="true" outlineLevel="0" collapsed="false">
      <c r="A9" s="6" t="n">
        <v>8</v>
      </c>
      <c r="B9" s="7" t="s">
        <v>35</v>
      </c>
      <c r="C9" s="7" t="s">
        <v>61</v>
      </c>
      <c r="D9" s="8" t="s">
        <v>62</v>
      </c>
      <c r="E9" s="8" t="s">
        <v>63</v>
      </c>
      <c r="F9" s="6" t="n">
        <v>5</v>
      </c>
      <c r="G9" s="6" t="n">
        <v>4</v>
      </c>
      <c r="H9" s="6" t="n">
        <f aca="false">F9+G9</f>
        <v>9</v>
      </c>
      <c r="I9" s="6" t="n">
        <v>1</v>
      </c>
      <c r="J9" s="7" t="s">
        <v>45</v>
      </c>
      <c r="K9" s="7" t="s">
        <v>22</v>
      </c>
      <c r="L9" s="7" t="s">
        <v>23</v>
      </c>
      <c r="M9" s="5" t="s">
        <v>64</v>
      </c>
      <c r="N9" s="5" t="s">
        <v>48</v>
      </c>
      <c r="O9" s="8" t="s">
        <v>65</v>
      </c>
      <c r="P9" s="8" t="s">
        <v>66</v>
      </c>
      <c r="Q9" s="8" t="s">
        <v>67</v>
      </c>
    </row>
    <row r="10" customFormat="false" ht="51.75" hidden="false" customHeight="true" outlineLevel="0" collapsed="false">
      <c r="A10" s="6" t="n">
        <v>9</v>
      </c>
      <c r="B10" s="7" t="s">
        <v>35</v>
      </c>
      <c r="C10" s="7" t="s">
        <v>61</v>
      </c>
      <c r="D10" s="8" t="s">
        <v>68</v>
      </c>
      <c r="E10" s="8" t="s">
        <v>69</v>
      </c>
      <c r="F10" s="6" t="n">
        <v>5</v>
      </c>
      <c r="G10" s="6" t="n">
        <v>4</v>
      </c>
      <c r="H10" s="6" t="n">
        <f aca="false">F10+G10</f>
        <v>9</v>
      </c>
      <c r="I10" s="6" t="n">
        <v>1</v>
      </c>
      <c r="J10" s="7" t="s">
        <v>45</v>
      </c>
      <c r="K10" s="7" t="s">
        <v>22</v>
      </c>
      <c r="L10" s="7" t="s">
        <v>23</v>
      </c>
      <c r="M10" s="5" t="s">
        <v>70</v>
      </c>
      <c r="N10" s="5" t="s">
        <v>25</v>
      </c>
      <c r="O10" s="8"/>
      <c r="P10" s="8"/>
      <c r="Q10" s="8"/>
    </row>
    <row r="11" customFormat="false" ht="51.75" hidden="false" customHeight="true" outlineLevel="0" collapsed="false">
      <c r="A11" s="6" t="n">
        <v>10</v>
      </c>
      <c r="B11" s="7" t="s">
        <v>35</v>
      </c>
      <c r="C11" s="7" t="s">
        <v>61</v>
      </c>
      <c r="D11" s="8" t="s">
        <v>71</v>
      </c>
      <c r="E11" s="8" t="s">
        <v>72</v>
      </c>
      <c r="F11" s="6" t="n">
        <v>5</v>
      </c>
      <c r="G11" s="6" t="n">
        <v>4</v>
      </c>
      <c r="H11" s="6" t="n">
        <f aca="false">F11+G11</f>
        <v>9</v>
      </c>
      <c r="I11" s="6" t="n">
        <v>1</v>
      </c>
      <c r="J11" s="7" t="s">
        <v>45</v>
      </c>
      <c r="K11" s="7" t="s">
        <v>22</v>
      </c>
      <c r="L11" s="7" t="s">
        <v>23</v>
      </c>
      <c r="M11" s="5" t="s">
        <v>73</v>
      </c>
      <c r="N11" s="5" t="s">
        <v>25</v>
      </c>
      <c r="O11" s="8"/>
      <c r="P11" s="8"/>
      <c r="Q11" s="8"/>
    </row>
    <row r="12" customFormat="false" ht="51.75" hidden="false" customHeight="true" outlineLevel="0" collapsed="false">
      <c r="A12" s="6" t="n">
        <v>11</v>
      </c>
      <c r="B12" s="7" t="s">
        <v>35</v>
      </c>
      <c r="C12" s="7" t="s">
        <v>61</v>
      </c>
      <c r="D12" s="8" t="s">
        <v>74</v>
      </c>
      <c r="E12" s="8" t="s">
        <v>75</v>
      </c>
      <c r="F12" s="6" t="n">
        <v>5</v>
      </c>
      <c r="G12" s="6" t="n">
        <v>4</v>
      </c>
      <c r="H12" s="6" t="n">
        <f aca="false">F12+G12</f>
        <v>9</v>
      </c>
      <c r="I12" s="6" t="n">
        <v>1</v>
      </c>
      <c r="J12" s="7" t="s">
        <v>45</v>
      </c>
      <c r="K12" s="7" t="s">
        <v>22</v>
      </c>
      <c r="L12" s="7" t="s">
        <v>23</v>
      </c>
      <c r="M12" s="5" t="s">
        <v>76</v>
      </c>
      <c r="N12" s="5" t="s">
        <v>25</v>
      </c>
      <c r="O12" s="8"/>
      <c r="P12" s="8"/>
      <c r="Q12" s="8"/>
    </row>
    <row r="13" customFormat="false" ht="51.75" hidden="false" customHeight="true" outlineLevel="0" collapsed="false">
      <c r="A13" s="6" t="n">
        <v>12</v>
      </c>
      <c r="B13" s="7" t="s">
        <v>35</v>
      </c>
      <c r="C13" s="7" t="s">
        <v>61</v>
      </c>
      <c r="D13" s="8" t="s">
        <v>77</v>
      </c>
      <c r="E13" s="8" t="s">
        <v>78</v>
      </c>
      <c r="F13" s="6" t="n">
        <v>5</v>
      </c>
      <c r="G13" s="6" t="n">
        <v>4</v>
      </c>
      <c r="H13" s="6" t="n">
        <f aca="false">F13+G13</f>
        <v>9</v>
      </c>
      <c r="I13" s="6" t="n">
        <v>1</v>
      </c>
      <c r="J13" s="7" t="s">
        <v>45</v>
      </c>
      <c r="K13" s="7" t="s">
        <v>22</v>
      </c>
      <c r="L13" s="7" t="s">
        <v>23</v>
      </c>
      <c r="M13" s="5" t="s">
        <v>79</v>
      </c>
      <c r="N13" s="5" t="s">
        <v>25</v>
      </c>
      <c r="O13" s="8"/>
      <c r="P13" s="8"/>
      <c r="Q13" s="8"/>
    </row>
    <row r="14" customFormat="false" ht="51.75" hidden="false" customHeight="true" outlineLevel="0" collapsed="false">
      <c r="A14" s="6" t="n">
        <v>13</v>
      </c>
      <c r="B14" s="7" t="s">
        <v>35</v>
      </c>
      <c r="C14" s="7" t="s">
        <v>61</v>
      </c>
      <c r="D14" s="8" t="s">
        <v>80</v>
      </c>
      <c r="E14" s="8" t="s">
        <v>81</v>
      </c>
      <c r="F14" s="6" t="n">
        <v>5</v>
      </c>
      <c r="G14" s="6" t="n">
        <v>4</v>
      </c>
      <c r="H14" s="6" t="n">
        <f aca="false">F14+G14</f>
        <v>9</v>
      </c>
      <c r="I14" s="6" t="n">
        <v>1</v>
      </c>
      <c r="J14" s="7" t="s">
        <v>45</v>
      </c>
      <c r="K14" s="7" t="s">
        <v>22</v>
      </c>
      <c r="L14" s="7" t="s">
        <v>23</v>
      </c>
      <c r="M14" s="5" t="s">
        <v>82</v>
      </c>
      <c r="N14" s="5" t="s">
        <v>25</v>
      </c>
      <c r="O14" s="8"/>
      <c r="P14" s="8"/>
      <c r="Q14" s="8"/>
    </row>
    <row r="15" customFormat="false" ht="51.75" hidden="false" customHeight="true" outlineLevel="0" collapsed="false">
      <c r="A15" s="6" t="n">
        <v>14</v>
      </c>
      <c r="B15" s="7" t="s">
        <v>35</v>
      </c>
      <c r="C15" s="7" t="s">
        <v>61</v>
      </c>
      <c r="D15" s="8" t="s">
        <v>83</v>
      </c>
      <c r="E15" s="8" t="s">
        <v>84</v>
      </c>
      <c r="F15" s="6" t="n">
        <v>5</v>
      </c>
      <c r="G15" s="6" t="n">
        <v>4</v>
      </c>
      <c r="H15" s="6" t="n">
        <f aca="false">F15+G15</f>
        <v>9</v>
      </c>
      <c r="I15" s="6" t="n">
        <v>1</v>
      </c>
      <c r="J15" s="7" t="s">
        <v>45</v>
      </c>
      <c r="K15" s="7" t="s">
        <v>22</v>
      </c>
      <c r="L15" s="7" t="s">
        <v>23</v>
      </c>
      <c r="M15" s="5" t="s">
        <v>85</v>
      </c>
      <c r="N15" s="5" t="s">
        <v>34</v>
      </c>
      <c r="O15" s="8"/>
      <c r="P15" s="8"/>
      <c r="Q15" s="8"/>
    </row>
    <row r="16" customFormat="false" ht="51.75" hidden="false" customHeight="true" outlineLevel="0" collapsed="false">
      <c r="A16" s="6" t="n">
        <v>15</v>
      </c>
      <c r="B16" s="7" t="s">
        <v>35</v>
      </c>
      <c r="C16" s="7" t="s">
        <v>61</v>
      </c>
      <c r="D16" s="8" t="s">
        <v>86</v>
      </c>
      <c r="E16" s="8" t="s">
        <v>87</v>
      </c>
      <c r="F16" s="6" t="n">
        <v>5</v>
      </c>
      <c r="G16" s="6" t="n">
        <v>5</v>
      </c>
      <c r="H16" s="6" t="n">
        <f aca="false">F16+G16</f>
        <v>10</v>
      </c>
      <c r="I16" s="6" t="n">
        <v>2</v>
      </c>
      <c r="J16" s="7" t="s">
        <v>88</v>
      </c>
      <c r="K16" s="7" t="s">
        <v>22</v>
      </c>
      <c r="L16" s="7" t="s">
        <v>23</v>
      </c>
      <c r="M16" s="5" t="s">
        <v>89</v>
      </c>
      <c r="N16" s="5" t="s">
        <v>41</v>
      </c>
      <c r="O16" s="8"/>
      <c r="P16" s="8"/>
      <c r="Q16" s="8"/>
    </row>
    <row r="17" customFormat="false" ht="51.75" hidden="false" customHeight="true" outlineLevel="0" collapsed="false">
      <c r="A17" s="6" t="n">
        <v>16</v>
      </c>
      <c r="B17" s="7" t="s">
        <v>35</v>
      </c>
      <c r="C17" s="7" t="s">
        <v>90</v>
      </c>
      <c r="D17" s="8" t="s">
        <v>91</v>
      </c>
      <c r="E17" s="8" t="s">
        <v>92</v>
      </c>
      <c r="F17" s="6" t="n">
        <v>4</v>
      </c>
      <c r="G17" s="6" t="n">
        <v>4</v>
      </c>
      <c r="H17" s="6" t="n">
        <f aca="false">F17+G17</f>
        <v>8</v>
      </c>
      <c r="I17" s="6" t="n">
        <v>3</v>
      </c>
      <c r="J17" s="7" t="s">
        <v>21</v>
      </c>
      <c r="K17" s="7" t="s">
        <v>22</v>
      </c>
      <c r="L17" s="7" t="s">
        <v>23</v>
      </c>
      <c r="M17" s="5" t="s">
        <v>93</v>
      </c>
      <c r="N17" s="5" t="s">
        <v>48</v>
      </c>
      <c r="O17" s="8"/>
      <c r="P17" s="8"/>
      <c r="Q17" s="8"/>
    </row>
    <row r="18" customFormat="false" ht="51.75" hidden="false" customHeight="true" outlineLevel="0" collapsed="false">
      <c r="A18" s="6" t="n">
        <v>17</v>
      </c>
      <c r="B18" s="7" t="s">
        <v>35</v>
      </c>
      <c r="C18" s="7" t="s">
        <v>94</v>
      </c>
      <c r="D18" s="8" t="s">
        <v>95</v>
      </c>
      <c r="E18" s="8" t="s">
        <v>96</v>
      </c>
      <c r="F18" s="6" t="n">
        <v>3</v>
      </c>
      <c r="G18" s="6" t="n">
        <v>5</v>
      </c>
      <c r="H18" s="6" t="n">
        <f aca="false">F18+G18</f>
        <v>8</v>
      </c>
      <c r="I18" s="6" t="n">
        <v>1</v>
      </c>
      <c r="J18" s="7" t="s">
        <v>39</v>
      </c>
      <c r="K18" s="7" t="s">
        <v>32</v>
      </c>
      <c r="L18" s="7" t="s">
        <v>23</v>
      </c>
      <c r="M18" s="5" t="s">
        <v>97</v>
      </c>
      <c r="N18" s="5" t="s">
        <v>98</v>
      </c>
      <c r="O18" s="8" t="s">
        <v>99</v>
      </c>
      <c r="P18" s="8" t="s">
        <v>100</v>
      </c>
      <c r="Q18" s="8" t="s">
        <v>101</v>
      </c>
    </row>
    <row r="19" customFormat="false" ht="51.75" hidden="false" customHeight="true" outlineLevel="0" collapsed="false">
      <c r="A19" s="6" t="n">
        <v>18</v>
      </c>
      <c r="B19" s="7" t="s">
        <v>35</v>
      </c>
      <c r="C19" s="7" t="s">
        <v>94</v>
      </c>
      <c r="D19" s="8" t="s">
        <v>102</v>
      </c>
      <c r="E19" s="8" t="s">
        <v>103</v>
      </c>
      <c r="F19" s="6" t="n">
        <v>3</v>
      </c>
      <c r="G19" s="6" t="n">
        <v>5</v>
      </c>
      <c r="H19" s="6" t="n">
        <f aca="false">F19+G19</f>
        <v>8</v>
      </c>
      <c r="I19" s="6" t="n">
        <v>1</v>
      </c>
      <c r="J19" s="7" t="s">
        <v>39</v>
      </c>
      <c r="K19" s="7" t="s">
        <v>32</v>
      </c>
      <c r="L19" s="7" t="s">
        <v>23</v>
      </c>
      <c r="M19" s="5" t="s">
        <v>47</v>
      </c>
      <c r="N19" s="5" t="s">
        <v>34</v>
      </c>
      <c r="O19" s="8"/>
      <c r="P19" s="8"/>
      <c r="Q19" s="8"/>
    </row>
    <row r="20" customFormat="false" ht="51.75" hidden="false" customHeight="true" outlineLevel="0" collapsed="false">
      <c r="A20" s="6" t="n">
        <v>19</v>
      </c>
      <c r="B20" s="7" t="s">
        <v>35</v>
      </c>
      <c r="C20" s="7" t="s">
        <v>94</v>
      </c>
      <c r="D20" s="8" t="s">
        <v>104</v>
      </c>
      <c r="E20" s="8" t="s">
        <v>105</v>
      </c>
      <c r="F20" s="6" t="n">
        <v>3</v>
      </c>
      <c r="G20" s="6" t="n">
        <v>4</v>
      </c>
      <c r="H20" s="6" t="n">
        <f aca="false">F20+G20</f>
        <v>7</v>
      </c>
      <c r="I20" s="6" t="n">
        <v>1</v>
      </c>
      <c r="J20" s="7" t="s">
        <v>39</v>
      </c>
      <c r="K20" s="7" t="s">
        <v>32</v>
      </c>
      <c r="L20" s="7" t="s">
        <v>23</v>
      </c>
      <c r="M20" s="5" t="s">
        <v>106</v>
      </c>
      <c r="N20" s="5" t="s">
        <v>48</v>
      </c>
      <c r="O20" s="8"/>
      <c r="P20" s="8"/>
      <c r="Q20" s="8"/>
    </row>
    <row r="21" customFormat="false" ht="51.75" hidden="false" customHeight="true" outlineLevel="0" collapsed="false">
      <c r="A21" s="6" t="n">
        <v>20</v>
      </c>
      <c r="B21" s="7" t="s">
        <v>35</v>
      </c>
      <c r="C21" s="7" t="s">
        <v>94</v>
      </c>
      <c r="D21" s="8" t="s">
        <v>107</v>
      </c>
      <c r="E21" s="8" t="s">
        <v>108</v>
      </c>
      <c r="F21" s="6" t="n">
        <v>3</v>
      </c>
      <c r="G21" s="6" t="n">
        <v>5</v>
      </c>
      <c r="H21" s="6" t="n">
        <f aca="false">F21+G21</f>
        <v>8</v>
      </c>
      <c r="I21" s="6" t="n">
        <v>1</v>
      </c>
      <c r="J21" s="7" t="s">
        <v>39</v>
      </c>
      <c r="K21" s="7" t="s">
        <v>32</v>
      </c>
      <c r="L21" s="7" t="s">
        <v>23</v>
      </c>
      <c r="M21" s="5" t="s">
        <v>109</v>
      </c>
      <c r="N21" s="5" t="s">
        <v>34</v>
      </c>
      <c r="O21" s="8" t="s">
        <v>110</v>
      </c>
      <c r="P21" s="8" t="s">
        <v>111</v>
      </c>
      <c r="Q21" s="8" t="s">
        <v>112</v>
      </c>
    </row>
    <row r="22" customFormat="false" ht="51.75" hidden="false" customHeight="true" outlineLevel="0" collapsed="false">
      <c r="A22" s="6" t="n">
        <v>21</v>
      </c>
      <c r="B22" s="7" t="s">
        <v>35</v>
      </c>
      <c r="C22" s="7" t="s">
        <v>94</v>
      </c>
      <c r="D22" s="8" t="s">
        <v>113</v>
      </c>
      <c r="E22" s="8" t="s">
        <v>114</v>
      </c>
      <c r="F22" s="6" t="n">
        <v>3</v>
      </c>
      <c r="G22" s="6" t="n">
        <v>4</v>
      </c>
      <c r="H22" s="6" t="n">
        <f aca="false">F22+G22</f>
        <v>7</v>
      </c>
      <c r="I22" s="6" t="n">
        <v>1</v>
      </c>
      <c r="J22" s="7" t="s">
        <v>39</v>
      </c>
      <c r="K22" s="7" t="s">
        <v>32</v>
      </c>
      <c r="L22" s="7" t="s">
        <v>23</v>
      </c>
      <c r="M22" s="5" t="s">
        <v>115</v>
      </c>
      <c r="N22" s="5" t="s">
        <v>48</v>
      </c>
      <c r="O22" s="8"/>
      <c r="P22" s="8"/>
      <c r="Q22" s="8"/>
    </row>
    <row r="23" customFormat="false" ht="51.75" hidden="false" customHeight="true" outlineLevel="0" collapsed="false">
      <c r="A23" s="6" t="n">
        <v>22</v>
      </c>
      <c r="B23" s="7" t="s">
        <v>35</v>
      </c>
      <c r="C23" s="7" t="s">
        <v>94</v>
      </c>
      <c r="D23" s="8" t="s">
        <v>116</v>
      </c>
      <c r="E23" s="8" t="s">
        <v>117</v>
      </c>
      <c r="F23" s="6" t="n">
        <v>3</v>
      </c>
      <c r="G23" s="6" t="n">
        <v>5</v>
      </c>
      <c r="H23" s="6" t="n">
        <f aca="false">F23+G23</f>
        <v>8</v>
      </c>
      <c r="I23" s="6" t="n">
        <v>1</v>
      </c>
      <c r="J23" s="7" t="s">
        <v>39</v>
      </c>
      <c r="K23" s="7" t="s">
        <v>32</v>
      </c>
      <c r="L23" s="7" t="s">
        <v>23</v>
      </c>
      <c r="M23" s="5" t="s">
        <v>118</v>
      </c>
      <c r="N23" s="5" t="s">
        <v>25</v>
      </c>
      <c r="O23" s="8"/>
      <c r="P23" s="8"/>
      <c r="Q23" s="8"/>
    </row>
    <row r="24" customFormat="false" ht="51.75" hidden="false" customHeight="true" outlineLevel="0" collapsed="false">
      <c r="A24" s="6" t="n">
        <v>23</v>
      </c>
      <c r="B24" s="7" t="s">
        <v>35</v>
      </c>
      <c r="C24" s="7" t="s">
        <v>94</v>
      </c>
      <c r="D24" s="8" t="s">
        <v>119</v>
      </c>
      <c r="E24" s="8" t="s">
        <v>120</v>
      </c>
      <c r="F24" s="6" t="n">
        <v>3</v>
      </c>
      <c r="G24" s="6" t="n">
        <v>4</v>
      </c>
      <c r="H24" s="6" t="n">
        <f aca="false">F24+G24</f>
        <v>7</v>
      </c>
      <c r="I24" s="6" t="n">
        <v>1</v>
      </c>
      <c r="J24" s="7" t="s">
        <v>39</v>
      </c>
      <c r="K24" s="7" t="s">
        <v>32</v>
      </c>
      <c r="L24" s="7" t="s">
        <v>23</v>
      </c>
      <c r="M24" s="5" t="s">
        <v>93</v>
      </c>
      <c r="N24" s="5" t="s">
        <v>34</v>
      </c>
      <c r="O24" s="8" t="s">
        <v>121</v>
      </c>
      <c r="P24" s="8" t="s">
        <v>122</v>
      </c>
      <c r="Q24" s="8" t="s">
        <v>123</v>
      </c>
    </row>
    <row r="25" customFormat="false" ht="51.75" hidden="false" customHeight="true" outlineLevel="0" collapsed="false">
      <c r="A25" s="9" t="n">
        <v>24</v>
      </c>
      <c r="B25" s="10" t="s">
        <v>124</v>
      </c>
      <c r="C25" s="10" t="s">
        <v>125</v>
      </c>
      <c r="D25" s="11" t="s">
        <v>126</v>
      </c>
      <c r="E25" s="11" t="s">
        <v>127</v>
      </c>
      <c r="F25" s="9" t="n">
        <v>4</v>
      </c>
      <c r="G25" s="9" t="n">
        <v>5</v>
      </c>
      <c r="H25" s="9" t="n">
        <f aca="false">F25+G25</f>
        <v>9</v>
      </c>
      <c r="I25" s="9" t="n">
        <v>1</v>
      </c>
      <c r="J25" s="10" t="s">
        <v>39</v>
      </c>
      <c r="K25" s="10" t="s">
        <v>32</v>
      </c>
      <c r="L25" s="10" t="s">
        <v>23</v>
      </c>
      <c r="M25" s="5" t="s">
        <v>40</v>
      </c>
      <c r="N25" s="5" t="s">
        <v>25</v>
      </c>
      <c r="O25" s="11"/>
      <c r="P25" s="11"/>
      <c r="Q25" s="11"/>
    </row>
    <row r="26" customFormat="false" ht="51.75" hidden="false" customHeight="true" outlineLevel="0" collapsed="false">
      <c r="A26" s="9" t="n">
        <v>25</v>
      </c>
      <c r="B26" s="10" t="s">
        <v>124</v>
      </c>
      <c r="C26" s="10" t="s">
        <v>125</v>
      </c>
      <c r="D26" s="11" t="s">
        <v>128</v>
      </c>
      <c r="E26" s="11" t="s">
        <v>129</v>
      </c>
      <c r="F26" s="9" t="n">
        <v>4</v>
      </c>
      <c r="G26" s="9" t="n">
        <v>5</v>
      </c>
      <c r="H26" s="9" t="n">
        <f aca="false">F26+G26</f>
        <v>9</v>
      </c>
      <c r="I26" s="9" t="n">
        <v>1</v>
      </c>
      <c r="J26" s="10" t="s">
        <v>39</v>
      </c>
      <c r="K26" s="10" t="s">
        <v>32</v>
      </c>
      <c r="L26" s="10" t="s">
        <v>23</v>
      </c>
      <c r="M26" s="5" t="s">
        <v>115</v>
      </c>
      <c r="N26" s="5" t="s">
        <v>34</v>
      </c>
      <c r="O26" s="11"/>
      <c r="P26" s="11"/>
      <c r="Q26" s="11"/>
    </row>
    <row r="27" customFormat="false" ht="51.75" hidden="false" customHeight="true" outlineLevel="0" collapsed="false">
      <c r="A27" s="9" t="n">
        <v>26</v>
      </c>
      <c r="B27" s="10" t="s">
        <v>124</v>
      </c>
      <c r="C27" s="10" t="s">
        <v>125</v>
      </c>
      <c r="D27" s="11" t="s">
        <v>130</v>
      </c>
      <c r="E27" s="11" t="s">
        <v>131</v>
      </c>
      <c r="F27" s="9" t="n">
        <v>4</v>
      </c>
      <c r="G27" s="9" t="n">
        <v>4</v>
      </c>
      <c r="H27" s="9" t="n">
        <f aca="false">F27+G27</f>
        <v>8</v>
      </c>
      <c r="I27" s="9" t="n">
        <v>1</v>
      </c>
      <c r="J27" s="10" t="s">
        <v>39</v>
      </c>
      <c r="K27" s="10" t="s">
        <v>32</v>
      </c>
      <c r="L27" s="10" t="s">
        <v>23</v>
      </c>
      <c r="M27" s="5" t="s">
        <v>70</v>
      </c>
      <c r="N27" s="5" t="s">
        <v>34</v>
      </c>
      <c r="O27" s="11" t="s">
        <v>132</v>
      </c>
      <c r="P27" s="11" t="s">
        <v>133</v>
      </c>
      <c r="Q27" s="11" t="s">
        <v>134</v>
      </c>
    </row>
    <row r="28" customFormat="false" ht="51.75" hidden="false" customHeight="true" outlineLevel="0" collapsed="false">
      <c r="A28" s="9" t="n">
        <v>27</v>
      </c>
      <c r="B28" s="10" t="s">
        <v>124</v>
      </c>
      <c r="C28" s="10" t="s">
        <v>125</v>
      </c>
      <c r="D28" s="11" t="s">
        <v>135</v>
      </c>
      <c r="E28" s="11" t="s">
        <v>136</v>
      </c>
      <c r="F28" s="9" t="n">
        <v>4</v>
      </c>
      <c r="G28" s="9" t="n">
        <v>4</v>
      </c>
      <c r="H28" s="9" t="n">
        <f aca="false">F28+G28</f>
        <v>8</v>
      </c>
      <c r="I28" s="9" t="n">
        <v>1</v>
      </c>
      <c r="J28" s="10" t="s">
        <v>39</v>
      </c>
      <c r="K28" s="10" t="s">
        <v>32</v>
      </c>
      <c r="L28" s="10" t="s">
        <v>23</v>
      </c>
      <c r="M28" s="5" t="s">
        <v>76</v>
      </c>
      <c r="N28" s="5" t="s">
        <v>34</v>
      </c>
      <c r="O28" s="11"/>
      <c r="P28" s="11"/>
      <c r="Q28" s="11"/>
    </row>
    <row r="29" customFormat="false" ht="51.75" hidden="false" customHeight="true" outlineLevel="0" collapsed="false">
      <c r="A29" s="9" t="n">
        <v>28</v>
      </c>
      <c r="B29" s="10" t="s">
        <v>124</v>
      </c>
      <c r="C29" s="10" t="s">
        <v>125</v>
      </c>
      <c r="D29" s="11" t="s">
        <v>137</v>
      </c>
      <c r="E29" s="11" t="s">
        <v>138</v>
      </c>
      <c r="F29" s="9" t="n">
        <v>4</v>
      </c>
      <c r="G29" s="9" t="n">
        <v>3</v>
      </c>
      <c r="H29" s="9" t="n">
        <f aca="false">F29+G29</f>
        <v>7</v>
      </c>
      <c r="I29" s="9" t="n">
        <v>1</v>
      </c>
      <c r="J29" s="10" t="s">
        <v>39</v>
      </c>
      <c r="K29" s="10" t="s">
        <v>32</v>
      </c>
      <c r="L29" s="10" t="s">
        <v>23</v>
      </c>
      <c r="M29" s="5" t="s">
        <v>33</v>
      </c>
      <c r="N29" s="5" t="s">
        <v>25</v>
      </c>
      <c r="O29" s="11"/>
      <c r="P29" s="11"/>
      <c r="Q29" s="11"/>
    </row>
    <row r="30" customFormat="false" ht="51.75" hidden="false" customHeight="true" outlineLevel="0" collapsed="false">
      <c r="A30" s="9" t="n">
        <v>29</v>
      </c>
      <c r="B30" s="10" t="s">
        <v>124</v>
      </c>
      <c r="C30" s="10" t="s">
        <v>125</v>
      </c>
      <c r="D30" s="11" t="s">
        <v>139</v>
      </c>
      <c r="E30" s="11" t="s">
        <v>140</v>
      </c>
      <c r="F30" s="9" t="n">
        <v>4</v>
      </c>
      <c r="G30" s="9" t="n">
        <v>3</v>
      </c>
      <c r="H30" s="9" t="n">
        <f aca="false">F30+G30</f>
        <v>7</v>
      </c>
      <c r="I30" s="9" t="n">
        <v>1</v>
      </c>
      <c r="J30" s="10" t="s">
        <v>39</v>
      </c>
      <c r="K30" s="10" t="s">
        <v>32</v>
      </c>
      <c r="L30" s="10" t="s">
        <v>23</v>
      </c>
      <c r="M30" s="5" t="s">
        <v>141</v>
      </c>
      <c r="N30" s="5" t="s">
        <v>34</v>
      </c>
      <c r="O30" s="11"/>
      <c r="P30" s="11"/>
      <c r="Q30" s="11"/>
    </row>
    <row r="31" customFormat="false" ht="51.75" hidden="false" customHeight="true" outlineLevel="0" collapsed="false">
      <c r="A31" s="9" t="n">
        <v>30</v>
      </c>
      <c r="B31" s="10" t="s">
        <v>124</v>
      </c>
      <c r="C31" s="10" t="s">
        <v>125</v>
      </c>
      <c r="D31" s="11" t="s">
        <v>142</v>
      </c>
      <c r="E31" s="11" t="s">
        <v>143</v>
      </c>
      <c r="F31" s="9" t="n">
        <v>4</v>
      </c>
      <c r="G31" s="9" t="n">
        <v>3</v>
      </c>
      <c r="H31" s="9" t="n">
        <f aca="false">F31+G31</f>
        <v>7</v>
      </c>
      <c r="I31" s="9" t="n">
        <v>1</v>
      </c>
      <c r="J31" s="10" t="s">
        <v>39</v>
      </c>
      <c r="K31" s="10" t="s">
        <v>32</v>
      </c>
      <c r="L31" s="10" t="s">
        <v>23</v>
      </c>
      <c r="M31" s="5" t="s">
        <v>144</v>
      </c>
      <c r="N31" s="5" t="s">
        <v>34</v>
      </c>
      <c r="O31" s="11" t="s">
        <v>145</v>
      </c>
      <c r="P31" s="11" t="s">
        <v>146</v>
      </c>
      <c r="Q31" s="11" t="s">
        <v>147</v>
      </c>
    </row>
    <row r="32" customFormat="false" ht="51.75" hidden="false" customHeight="true" outlineLevel="0" collapsed="false">
      <c r="A32" s="9" t="n">
        <v>31</v>
      </c>
      <c r="B32" s="10" t="s">
        <v>124</v>
      </c>
      <c r="C32" s="10" t="s">
        <v>125</v>
      </c>
      <c r="D32" s="11" t="s">
        <v>148</v>
      </c>
      <c r="E32" s="11" t="s">
        <v>149</v>
      </c>
      <c r="F32" s="9" t="n">
        <v>4</v>
      </c>
      <c r="G32" s="9" t="n">
        <v>3</v>
      </c>
      <c r="H32" s="9" t="n">
        <f aca="false">F32+G32</f>
        <v>7</v>
      </c>
      <c r="I32" s="9" t="n">
        <v>1</v>
      </c>
      <c r="J32" s="10" t="s">
        <v>39</v>
      </c>
      <c r="K32" s="10" t="s">
        <v>32</v>
      </c>
      <c r="L32" s="10" t="s">
        <v>23</v>
      </c>
      <c r="M32" s="5" t="s">
        <v>150</v>
      </c>
      <c r="N32" s="5" t="s">
        <v>25</v>
      </c>
      <c r="O32" s="11"/>
      <c r="P32" s="11"/>
      <c r="Q32" s="11"/>
    </row>
    <row r="33" customFormat="false" ht="51.75" hidden="false" customHeight="true" outlineLevel="0" collapsed="false">
      <c r="A33" s="9" t="n">
        <v>32</v>
      </c>
      <c r="B33" s="10" t="s">
        <v>124</v>
      </c>
      <c r="C33" s="10" t="s">
        <v>125</v>
      </c>
      <c r="D33" s="11" t="s">
        <v>151</v>
      </c>
      <c r="E33" s="11" t="s">
        <v>152</v>
      </c>
      <c r="F33" s="9" t="n">
        <v>4</v>
      </c>
      <c r="G33" s="9" t="n">
        <v>2</v>
      </c>
      <c r="H33" s="9" t="n">
        <f aca="false">F33+G33</f>
        <v>6</v>
      </c>
      <c r="I33" s="9" t="n">
        <v>1</v>
      </c>
      <c r="J33" s="10" t="s">
        <v>39</v>
      </c>
      <c r="K33" s="10" t="s">
        <v>32</v>
      </c>
      <c r="L33" s="10" t="s">
        <v>23</v>
      </c>
      <c r="M33" s="5" t="s">
        <v>79</v>
      </c>
      <c r="N33" s="5" t="s">
        <v>34</v>
      </c>
      <c r="O33" s="11"/>
      <c r="P33" s="11"/>
      <c r="Q33" s="11"/>
    </row>
    <row r="34" customFormat="false" ht="51.75" hidden="false" customHeight="true" outlineLevel="0" collapsed="false">
      <c r="A34" s="9" t="n">
        <v>33</v>
      </c>
      <c r="B34" s="10" t="s">
        <v>124</v>
      </c>
      <c r="C34" s="10" t="s">
        <v>125</v>
      </c>
      <c r="D34" s="11" t="s">
        <v>153</v>
      </c>
      <c r="E34" s="11" t="s">
        <v>154</v>
      </c>
      <c r="F34" s="9" t="n">
        <v>4</v>
      </c>
      <c r="G34" s="9" t="n">
        <v>2</v>
      </c>
      <c r="H34" s="9" t="n">
        <f aca="false">F34+G34</f>
        <v>6</v>
      </c>
      <c r="I34" s="9" t="n">
        <v>1</v>
      </c>
      <c r="J34" s="10" t="s">
        <v>39</v>
      </c>
      <c r="K34" s="10" t="s">
        <v>32</v>
      </c>
      <c r="L34" s="10" t="s">
        <v>23</v>
      </c>
      <c r="M34" s="5" t="s">
        <v>155</v>
      </c>
      <c r="N34" s="5" t="s">
        <v>34</v>
      </c>
      <c r="O34" s="11"/>
      <c r="P34" s="11"/>
      <c r="Q34" s="11"/>
    </row>
    <row r="35" customFormat="false" ht="51.75" hidden="false" customHeight="true" outlineLevel="0" collapsed="false">
      <c r="A35" s="9" t="n">
        <v>34</v>
      </c>
      <c r="B35" s="10" t="s">
        <v>124</v>
      </c>
      <c r="C35" s="10" t="s">
        <v>125</v>
      </c>
      <c r="D35" s="11" t="s">
        <v>156</v>
      </c>
      <c r="E35" s="11" t="s">
        <v>157</v>
      </c>
      <c r="F35" s="9" t="n">
        <v>4</v>
      </c>
      <c r="G35" s="9" t="n">
        <v>2</v>
      </c>
      <c r="H35" s="9" t="n">
        <f aca="false">F35+G35</f>
        <v>6</v>
      </c>
      <c r="I35" s="9" t="n">
        <v>1</v>
      </c>
      <c r="J35" s="10" t="s">
        <v>39</v>
      </c>
      <c r="K35" s="10" t="s">
        <v>32</v>
      </c>
      <c r="L35" s="10" t="s">
        <v>23</v>
      </c>
      <c r="M35" s="5" t="s">
        <v>158</v>
      </c>
      <c r="N35" s="5" t="s">
        <v>25</v>
      </c>
      <c r="O35" s="11"/>
      <c r="P35" s="11"/>
      <c r="Q35" s="11"/>
    </row>
    <row r="36" customFormat="false" ht="51.75" hidden="false" customHeight="true" outlineLevel="0" collapsed="false">
      <c r="A36" s="12" t="n">
        <v>35</v>
      </c>
      <c r="B36" s="13" t="s">
        <v>159</v>
      </c>
      <c r="C36" s="13" t="s">
        <v>160</v>
      </c>
      <c r="D36" s="14" t="s">
        <v>161</v>
      </c>
      <c r="E36" s="14" t="s">
        <v>162</v>
      </c>
      <c r="F36" s="12" t="n">
        <v>3</v>
      </c>
      <c r="G36" s="12" t="n">
        <v>5</v>
      </c>
      <c r="H36" s="12" t="n">
        <f aca="false">F36+G36</f>
        <v>8</v>
      </c>
      <c r="I36" s="12" t="n">
        <v>3</v>
      </c>
      <c r="J36" s="13" t="s">
        <v>21</v>
      </c>
      <c r="K36" s="13" t="s">
        <v>22</v>
      </c>
      <c r="L36" s="13" t="s">
        <v>23</v>
      </c>
      <c r="M36" s="5" t="s">
        <v>163</v>
      </c>
      <c r="N36" s="5" t="s">
        <v>25</v>
      </c>
      <c r="O36" s="14"/>
      <c r="P36" s="14"/>
      <c r="Q36" s="14"/>
    </row>
    <row r="37" customFormat="false" ht="51.75" hidden="false" customHeight="true" outlineLevel="0" collapsed="false">
      <c r="A37" s="12" t="n">
        <v>36</v>
      </c>
      <c r="B37" s="13" t="s">
        <v>159</v>
      </c>
      <c r="C37" s="13" t="s">
        <v>160</v>
      </c>
      <c r="D37" s="14" t="s">
        <v>164</v>
      </c>
      <c r="E37" s="14" t="s">
        <v>165</v>
      </c>
      <c r="F37" s="12" t="n">
        <v>4</v>
      </c>
      <c r="G37" s="12" t="n">
        <v>4</v>
      </c>
      <c r="H37" s="12" t="n">
        <f aca="false">F37+G37</f>
        <v>8</v>
      </c>
      <c r="I37" s="12" t="n">
        <v>4</v>
      </c>
      <c r="J37" s="13" t="s">
        <v>166</v>
      </c>
      <c r="K37" s="13" t="s">
        <v>22</v>
      </c>
      <c r="L37" s="13" t="s">
        <v>23</v>
      </c>
      <c r="M37" s="5" t="s">
        <v>155</v>
      </c>
      <c r="N37" s="5" t="s">
        <v>25</v>
      </c>
      <c r="O37" s="14"/>
      <c r="P37" s="14"/>
      <c r="Q37" s="14"/>
    </row>
    <row r="38" customFormat="false" ht="51.75" hidden="false" customHeight="true" outlineLevel="0" collapsed="false">
      <c r="A38" s="12" t="n">
        <v>37</v>
      </c>
      <c r="B38" s="13" t="s">
        <v>159</v>
      </c>
      <c r="C38" s="13" t="s">
        <v>167</v>
      </c>
      <c r="D38" s="14" t="s">
        <v>168</v>
      </c>
      <c r="E38" s="14" t="s">
        <v>169</v>
      </c>
      <c r="F38" s="12" t="n">
        <v>2</v>
      </c>
      <c r="G38" s="12" t="n">
        <v>5</v>
      </c>
      <c r="H38" s="12" t="n">
        <f aca="false">F38+G38</f>
        <v>7</v>
      </c>
      <c r="I38" s="12" t="n">
        <v>1</v>
      </c>
      <c r="J38" s="13" t="s">
        <v>58</v>
      </c>
      <c r="K38" s="13" t="s">
        <v>22</v>
      </c>
      <c r="L38" s="13" t="s">
        <v>59</v>
      </c>
      <c r="M38" s="5" t="s">
        <v>40</v>
      </c>
      <c r="N38" s="5" t="s">
        <v>34</v>
      </c>
      <c r="O38" s="14"/>
      <c r="P38" s="14"/>
      <c r="Q38" s="14"/>
    </row>
    <row r="39" customFormat="false" ht="51.75" hidden="false" customHeight="true" outlineLevel="0" collapsed="false">
      <c r="A39" s="12" t="n">
        <v>38</v>
      </c>
      <c r="B39" s="13" t="s">
        <v>159</v>
      </c>
      <c r="C39" s="13" t="s">
        <v>170</v>
      </c>
      <c r="D39" s="14" t="s">
        <v>171</v>
      </c>
      <c r="E39" s="14" t="s">
        <v>172</v>
      </c>
      <c r="F39" s="12" t="n">
        <v>3</v>
      </c>
      <c r="G39" s="12" t="n">
        <v>5</v>
      </c>
      <c r="H39" s="12" t="n">
        <f aca="false">F39+G39</f>
        <v>8</v>
      </c>
      <c r="I39" s="12" t="n">
        <v>1</v>
      </c>
      <c r="J39" s="13" t="s">
        <v>45</v>
      </c>
      <c r="K39" s="13" t="s">
        <v>22</v>
      </c>
      <c r="L39" s="13" t="s">
        <v>23</v>
      </c>
      <c r="M39" s="5" t="s">
        <v>173</v>
      </c>
      <c r="N39" s="5" t="s">
        <v>25</v>
      </c>
      <c r="O39" s="14"/>
      <c r="P39" s="14"/>
      <c r="Q39" s="14"/>
    </row>
    <row r="40" customFormat="false" ht="51.75" hidden="false" customHeight="true" outlineLevel="0" collapsed="false">
      <c r="A40" s="12" t="n">
        <v>39</v>
      </c>
      <c r="B40" s="13" t="s">
        <v>159</v>
      </c>
      <c r="C40" s="13" t="s">
        <v>167</v>
      </c>
      <c r="D40" s="14" t="s">
        <v>174</v>
      </c>
      <c r="E40" s="14" t="s">
        <v>175</v>
      </c>
      <c r="F40" s="12" t="n">
        <v>4</v>
      </c>
      <c r="G40" s="12" t="n">
        <v>5</v>
      </c>
      <c r="H40" s="12" t="n">
        <f aca="false">F40+G40</f>
        <v>9</v>
      </c>
      <c r="I40" s="12" t="n">
        <v>3</v>
      </c>
      <c r="J40" s="13" t="s">
        <v>21</v>
      </c>
      <c r="K40" s="13" t="s">
        <v>22</v>
      </c>
      <c r="L40" s="13" t="s">
        <v>23</v>
      </c>
      <c r="M40" s="5" t="s">
        <v>85</v>
      </c>
      <c r="N40" s="5" t="s">
        <v>25</v>
      </c>
      <c r="O40" s="14"/>
      <c r="P40" s="14"/>
      <c r="Q40" s="14"/>
    </row>
    <row r="41" customFormat="false" ht="51.75" hidden="false" customHeight="true" outlineLevel="0" collapsed="false">
      <c r="A41" s="12" t="n">
        <v>40</v>
      </c>
      <c r="B41" s="13" t="s">
        <v>159</v>
      </c>
      <c r="C41" s="13" t="s">
        <v>176</v>
      </c>
      <c r="D41" s="14" t="s">
        <v>177</v>
      </c>
      <c r="E41" s="14" t="s">
        <v>178</v>
      </c>
      <c r="F41" s="12" t="n">
        <v>2</v>
      </c>
      <c r="G41" s="12" t="n">
        <v>4</v>
      </c>
      <c r="H41" s="12" t="n">
        <f aca="false">F41+G41</f>
        <v>6</v>
      </c>
      <c r="I41" s="12" t="n">
        <v>5</v>
      </c>
      <c r="J41" s="13" t="s">
        <v>179</v>
      </c>
      <c r="K41" s="13" t="s">
        <v>22</v>
      </c>
      <c r="L41" s="13" t="s">
        <v>23</v>
      </c>
      <c r="M41" s="5" t="s">
        <v>163</v>
      </c>
      <c r="N41" s="5" t="s">
        <v>34</v>
      </c>
      <c r="O41" s="14"/>
      <c r="P41" s="14"/>
      <c r="Q41" s="14"/>
    </row>
    <row r="42" customFormat="false" ht="51.75" hidden="false" customHeight="true" outlineLevel="0" collapsed="false">
      <c r="A42" s="12" t="n">
        <v>41</v>
      </c>
      <c r="B42" s="13" t="s">
        <v>159</v>
      </c>
      <c r="C42" s="13" t="s">
        <v>180</v>
      </c>
      <c r="D42" s="14" t="s">
        <v>181</v>
      </c>
      <c r="E42" s="14" t="s">
        <v>182</v>
      </c>
      <c r="F42" s="12" t="n">
        <v>2</v>
      </c>
      <c r="G42" s="12" t="n">
        <v>4</v>
      </c>
      <c r="H42" s="12" t="n">
        <f aca="false">F42+G42</f>
        <v>6</v>
      </c>
      <c r="I42" s="12" t="n">
        <v>3</v>
      </c>
      <c r="J42" s="13" t="s">
        <v>21</v>
      </c>
      <c r="K42" s="13" t="s">
        <v>22</v>
      </c>
      <c r="L42" s="13" t="s">
        <v>23</v>
      </c>
      <c r="M42" s="5" t="s">
        <v>183</v>
      </c>
      <c r="N42" s="5" t="s">
        <v>25</v>
      </c>
      <c r="O42" s="14"/>
      <c r="P42" s="14"/>
      <c r="Q42" s="14"/>
    </row>
    <row r="43" customFormat="false" ht="51.75" hidden="false" customHeight="true" outlineLevel="0" collapsed="false">
      <c r="A43" s="12" t="n">
        <v>42</v>
      </c>
      <c r="B43" s="13" t="s">
        <v>159</v>
      </c>
      <c r="C43" s="13" t="s">
        <v>184</v>
      </c>
      <c r="D43" s="14" t="s">
        <v>185</v>
      </c>
      <c r="E43" s="14" t="s">
        <v>186</v>
      </c>
      <c r="F43" s="12" t="n">
        <v>3</v>
      </c>
      <c r="G43" s="12" t="n">
        <v>5</v>
      </c>
      <c r="H43" s="12" t="n">
        <f aca="false">F43+G43</f>
        <v>8</v>
      </c>
      <c r="I43" s="12" t="n">
        <v>3</v>
      </c>
      <c r="J43" s="13" t="s">
        <v>21</v>
      </c>
      <c r="K43" s="13" t="s">
        <v>22</v>
      </c>
      <c r="L43" s="13" t="s">
        <v>23</v>
      </c>
      <c r="M43" s="5" t="s">
        <v>173</v>
      </c>
      <c r="N43" s="5" t="s">
        <v>34</v>
      </c>
      <c r="O43" s="14"/>
      <c r="P43" s="14"/>
      <c r="Q43" s="14"/>
    </row>
    <row r="44" customFormat="false" ht="51.75" hidden="false" customHeight="true" outlineLevel="0" collapsed="false">
      <c r="A44" s="15" t="n">
        <v>43</v>
      </c>
      <c r="B44" s="16" t="s">
        <v>187</v>
      </c>
      <c r="C44" s="16" t="s">
        <v>188</v>
      </c>
      <c r="D44" s="17" t="s">
        <v>189</v>
      </c>
      <c r="E44" s="17" t="s">
        <v>190</v>
      </c>
      <c r="F44" s="15" t="n">
        <v>5</v>
      </c>
      <c r="G44" s="15" t="n">
        <v>5</v>
      </c>
      <c r="H44" s="15" t="n">
        <f aca="false">F44+G44</f>
        <v>10</v>
      </c>
      <c r="I44" s="15" t="n">
        <v>4</v>
      </c>
      <c r="J44" s="16" t="s">
        <v>166</v>
      </c>
      <c r="K44" s="16" t="s">
        <v>22</v>
      </c>
      <c r="L44" s="16" t="s">
        <v>23</v>
      </c>
      <c r="M44" s="5" t="s">
        <v>97</v>
      </c>
      <c r="N44" s="5" t="s">
        <v>191</v>
      </c>
      <c r="O44" s="17"/>
      <c r="P44" s="17"/>
      <c r="Q44" s="17"/>
    </row>
    <row r="45" customFormat="false" ht="51.75" hidden="false" customHeight="true" outlineLevel="0" collapsed="false">
      <c r="A45" s="15" t="n">
        <v>44</v>
      </c>
      <c r="B45" s="16" t="s">
        <v>187</v>
      </c>
      <c r="C45" s="16" t="s">
        <v>188</v>
      </c>
      <c r="D45" s="17" t="s">
        <v>192</v>
      </c>
      <c r="E45" s="17" t="s">
        <v>193</v>
      </c>
      <c r="F45" s="15" t="n">
        <v>5</v>
      </c>
      <c r="G45" s="15" t="n">
        <v>4</v>
      </c>
      <c r="H45" s="15" t="n">
        <f aca="false">F45+G45</f>
        <v>9</v>
      </c>
      <c r="I45" s="15" t="n">
        <v>2</v>
      </c>
      <c r="J45" s="16" t="s">
        <v>88</v>
      </c>
      <c r="K45" s="16" t="s">
        <v>22</v>
      </c>
      <c r="L45" s="16" t="s">
        <v>23</v>
      </c>
      <c r="M45" s="5" t="s">
        <v>51</v>
      </c>
      <c r="N45" s="5" t="s">
        <v>25</v>
      </c>
      <c r="O45" s="17"/>
      <c r="P45" s="17"/>
      <c r="Q45" s="17"/>
    </row>
    <row r="46" customFormat="false" ht="51.75" hidden="false" customHeight="true" outlineLevel="0" collapsed="false">
      <c r="A46" s="15" t="n">
        <v>45</v>
      </c>
      <c r="B46" s="16" t="s">
        <v>187</v>
      </c>
      <c r="C46" s="16" t="s">
        <v>188</v>
      </c>
      <c r="D46" s="17" t="s">
        <v>194</v>
      </c>
      <c r="E46" s="17" t="s">
        <v>195</v>
      </c>
      <c r="F46" s="15" t="n">
        <v>5</v>
      </c>
      <c r="G46" s="15" t="n">
        <v>5</v>
      </c>
      <c r="H46" s="15" t="n">
        <f aca="false">F46+G46</f>
        <v>10</v>
      </c>
      <c r="I46" s="15" t="n">
        <v>4</v>
      </c>
      <c r="J46" s="16" t="s">
        <v>166</v>
      </c>
      <c r="K46" s="16" t="s">
        <v>22</v>
      </c>
      <c r="L46" s="16" t="s">
        <v>23</v>
      </c>
      <c r="M46" s="5" t="s">
        <v>196</v>
      </c>
      <c r="N46" s="5" t="s">
        <v>191</v>
      </c>
      <c r="O46" s="17"/>
      <c r="P46" s="17"/>
      <c r="Q46" s="17"/>
    </row>
    <row r="47" customFormat="false" ht="51.75" hidden="false" customHeight="true" outlineLevel="0" collapsed="false">
      <c r="A47" s="15" t="n">
        <v>46</v>
      </c>
      <c r="B47" s="16" t="s">
        <v>187</v>
      </c>
      <c r="C47" s="16" t="s">
        <v>188</v>
      </c>
      <c r="D47" s="17" t="s">
        <v>197</v>
      </c>
      <c r="E47" s="17" t="s">
        <v>198</v>
      </c>
      <c r="F47" s="15" t="n">
        <v>5</v>
      </c>
      <c r="G47" s="15" t="n">
        <v>4</v>
      </c>
      <c r="H47" s="15" t="n">
        <f aca="false">F47+G47</f>
        <v>9</v>
      </c>
      <c r="I47" s="15" t="n">
        <v>2</v>
      </c>
      <c r="J47" s="16" t="s">
        <v>88</v>
      </c>
      <c r="K47" s="16" t="s">
        <v>22</v>
      </c>
      <c r="L47" s="16" t="s">
        <v>23</v>
      </c>
      <c r="M47" s="5" t="s">
        <v>199</v>
      </c>
      <c r="N47" s="5" t="s">
        <v>25</v>
      </c>
      <c r="O47" s="17"/>
      <c r="P47" s="17"/>
      <c r="Q47" s="17"/>
    </row>
    <row r="48" customFormat="false" ht="51.75" hidden="false" customHeight="true" outlineLevel="0" collapsed="false">
      <c r="A48" s="15" t="n">
        <v>47</v>
      </c>
      <c r="B48" s="16" t="s">
        <v>187</v>
      </c>
      <c r="C48" s="16" t="s">
        <v>188</v>
      </c>
      <c r="D48" s="17" t="s">
        <v>200</v>
      </c>
      <c r="E48" s="17" t="s">
        <v>201</v>
      </c>
      <c r="F48" s="15" t="n">
        <v>5</v>
      </c>
      <c r="G48" s="15" t="n">
        <v>5</v>
      </c>
      <c r="H48" s="15" t="n">
        <f aca="false">F48+G48</f>
        <v>10</v>
      </c>
      <c r="I48" s="15" t="n">
        <v>4</v>
      </c>
      <c r="J48" s="16" t="s">
        <v>166</v>
      </c>
      <c r="K48" s="16" t="s">
        <v>22</v>
      </c>
      <c r="L48" s="16" t="s">
        <v>23</v>
      </c>
      <c r="M48" s="5" t="s">
        <v>73</v>
      </c>
      <c r="N48" s="5" t="s">
        <v>34</v>
      </c>
      <c r="O48" s="17"/>
      <c r="P48" s="17"/>
      <c r="Q48" s="17"/>
    </row>
    <row r="49" customFormat="false" ht="51.75" hidden="false" customHeight="true" outlineLevel="0" collapsed="false">
      <c r="A49" s="15" t="n">
        <v>48</v>
      </c>
      <c r="B49" s="16" t="s">
        <v>187</v>
      </c>
      <c r="C49" s="16" t="s">
        <v>188</v>
      </c>
      <c r="D49" s="17" t="s">
        <v>202</v>
      </c>
      <c r="E49" s="17" t="s">
        <v>198</v>
      </c>
      <c r="F49" s="15" t="n">
        <v>5</v>
      </c>
      <c r="G49" s="15" t="n">
        <v>4</v>
      </c>
      <c r="H49" s="15" t="n">
        <f aca="false">F49+G49</f>
        <v>9</v>
      </c>
      <c r="I49" s="15" t="n">
        <v>2</v>
      </c>
      <c r="J49" s="16" t="s">
        <v>88</v>
      </c>
      <c r="K49" s="16" t="s">
        <v>22</v>
      </c>
      <c r="L49" s="16" t="s">
        <v>23</v>
      </c>
      <c r="M49" s="5" t="s">
        <v>150</v>
      </c>
      <c r="N49" s="5" t="s">
        <v>34</v>
      </c>
      <c r="O49" s="17"/>
      <c r="P49" s="17"/>
      <c r="Q49" s="17"/>
    </row>
    <row r="50" customFormat="false" ht="51.75" hidden="false" customHeight="true" outlineLevel="0" collapsed="false">
      <c r="A50" s="18" t="n">
        <v>49</v>
      </c>
      <c r="B50" s="19" t="s">
        <v>203</v>
      </c>
      <c r="C50" s="19" t="s">
        <v>204</v>
      </c>
      <c r="D50" s="20" t="s">
        <v>205</v>
      </c>
      <c r="E50" s="20" t="s">
        <v>206</v>
      </c>
      <c r="F50" s="18" t="n">
        <v>5</v>
      </c>
      <c r="G50" s="18" t="n">
        <v>3</v>
      </c>
      <c r="H50" s="18" t="n">
        <f aca="false">F50+G50</f>
        <v>8</v>
      </c>
      <c r="I50" s="18" t="n">
        <v>1</v>
      </c>
      <c r="J50" s="19" t="s">
        <v>39</v>
      </c>
      <c r="K50" s="19" t="s">
        <v>32</v>
      </c>
      <c r="L50" s="19" t="s">
        <v>23</v>
      </c>
      <c r="M50" s="5" t="s">
        <v>60</v>
      </c>
      <c r="N50" s="5" t="s">
        <v>34</v>
      </c>
      <c r="O50" s="20"/>
      <c r="P50" s="20"/>
      <c r="Q50" s="20"/>
    </row>
    <row r="51" customFormat="false" ht="51.75" hidden="false" customHeight="true" outlineLevel="0" collapsed="false">
      <c r="A51" s="18" t="n">
        <v>50</v>
      </c>
      <c r="B51" s="19" t="s">
        <v>203</v>
      </c>
      <c r="C51" s="19" t="s">
        <v>207</v>
      </c>
      <c r="D51" s="20" t="s">
        <v>208</v>
      </c>
      <c r="E51" s="20" t="s">
        <v>209</v>
      </c>
      <c r="F51" s="18" t="n">
        <v>5</v>
      </c>
      <c r="G51" s="18" t="n">
        <v>4</v>
      </c>
      <c r="H51" s="18" t="n">
        <f aca="false">F51+G51</f>
        <v>9</v>
      </c>
      <c r="I51" s="18" t="n">
        <v>1</v>
      </c>
      <c r="J51" s="19" t="s">
        <v>88</v>
      </c>
      <c r="K51" s="19" t="s">
        <v>22</v>
      </c>
      <c r="L51" s="19" t="s">
        <v>23</v>
      </c>
      <c r="M51" s="5" t="s">
        <v>40</v>
      </c>
      <c r="N51" s="5" t="s">
        <v>48</v>
      </c>
      <c r="O51" s="20"/>
      <c r="P51" s="20"/>
      <c r="Q51" s="20"/>
    </row>
    <row r="52" customFormat="false" ht="51.75" hidden="false" customHeight="true" outlineLevel="0" collapsed="false">
      <c r="A52" s="18" t="n">
        <v>51</v>
      </c>
      <c r="B52" s="19" t="s">
        <v>203</v>
      </c>
      <c r="C52" s="19" t="s">
        <v>210</v>
      </c>
      <c r="D52" s="20" t="s">
        <v>211</v>
      </c>
      <c r="E52" s="20" t="s">
        <v>212</v>
      </c>
      <c r="F52" s="18" t="n">
        <v>5</v>
      </c>
      <c r="G52" s="18" t="n">
        <v>2</v>
      </c>
      <c r="H52" s="18" t="n">
        <f aca="false">F52+G52</f>
        <v>7</v>
      </c>
      <c r="I52" s="18" t="n">
        <v>1</v>
      </c>
      <c r="J52" s="19" t="s">
        <v>39</v>
      </c>
      <c r="K52" s="19" t="s">
        <v>32</v>
      </c>
      <c r="L52" s="19" t="s">
        <v>23</v>
      </c>
      <c r="M52" s="5" t="s">
        <v>51</v>
      </c>
      <c r="N52" s="5" t="s">
        <v>48</v>
      </c>
      <c r="O52" s="20"/>
      <c r="P52" s="20"/>
      <c r="Q52" s="20"/>
    </row>
    <row r="53" customFormat="false" ht="51.75" hidden="false" customHeight="true" outlineLevel="0" collapsed="false">
      <c r="A53" s="18" t="n">
        <v>52</v>
      </c>
      <c r="B53" s="19" t="s">
        <v>203</v>
      </c>
      <c r="C53" s="19" t="s">
        <v>213</v>
      </c>
      <c r="D53" s="20" t="s">
        <v>214</v>
      </c>
      <c r="E53" s="20" t="s">
        <v>215</v>
      </c>
      <c r="F53" s="18" t="n">
        <v>5</v>
      </c>
      <c r="G53" s="18" t="n">
        <v>4</v>
      </c>
      <c r="H53" s="18" t="n">
        <f aca="false">F53+G53</f>
        <v>9</v>
      </c>
      <c r="I53" s="18" t="n">
        <v>2</v>
      </c>
      <c r="J53" s="19" t="s">
        <v>216</v>
      </c>
      <c r="K53" s="19" t="s">
        <v>22</v>
      </c>
      <c r="L53" s="19" t="s">
        <v>23</v>
      </c>
      <c r="M53" s="5" t="s">
        <v>60</v>
      </c>
      <c r="N53" s="5" t="s">
        <v>48</v>
      </c>
      <c r="O53" s="20"/>
      <c r="P53" s="20"/>
      <c r="Q53" s="20"/>
    </row>
    <row r="54" customFormat="false" ht="51.75" hidden="false" customHeight="true" outlineLevel="0" collapsed="false">
      <c r="A54" s="18" t="n">
        <v>53</v>
      </c>
      <c r="B54" s="19" t="s">
        <v>203</v>
      </c>
      <c r="C54" s="19" t="s">
        <v>217</v>
      </c>
      <c r="D54" s="20" t="s">
        <v>218</v>
      </c>
      <c r="E54" s="20" t="s">
        <v>219</v>
      </c>
      <c r="F54" s="18" t="n">
        <v>5</v>
      </c>
      <c r="G54" s="18" t="n">
        <v>5</v>
      </c>
      <c r="H54" s="18" t="n">
        <f aca="false">F54+G54</f>
        <v>10</v>
      </c>
      <c r="I54" s="18" t="n">
        <v>1</v>
      </c>
      <c r="J54" s="19" t="s">
        <v>220</v>
      </c>
      <c r="K54" s="19" t="s">
        <v>22</v>
      </c>
      <c r="L54" s="19" t="s">
        <v>23</v>
      </c>
      <c r="M54" s="5" t="s">
        <v>64</v>
      </c>
      <c r="N54" s="5" t="s">
        <v>34</v>
      </c>
      <c r="O54" s="20" t="s">
        <v>221</v>
      </c>
      <c r="P54" s="20" t="s">
        <v>222</v>
      </c>
      <c r="Q54" s="20" t="s">
        <v>223</v>
      </c>
    </row>
    <row r="55" customFormat="false" ht="51.75" hidden="false" customHeight="true" outlineLevel="0" collapsed="false">
      <c r="A55" s="21" t="n">
        <v>54</v>
      </c>
      <c r="B55" s="22" t="s">
        <v>224</v>
      </c>
      <c r="C55" s="22" t="s">
        <v>225</v>
      </c>
      <c r="D55" s="23" t="s">
        <v>226</v>
      </c>
      <c r="E55" s="23" t="s">
        <v>227</v>
      </c>
      <c r="F55" s="21" t="n">
        <v>4</v>
      </c>
      <c r="G55" s="21" t="n">
        <v>5</v>
      </c>
      <c r="H55" s="21" t="n">
        <f aca="false">F55+G55</f>
        <v>9</v>
      </c>
      <c r="I55" s="21" t="n">
        <v>2</v>
      </c>
      <c r="J55" s="22" t="s">
        <v>228</v>
      </c>
      <c r="K55" s="22" t="s">
        <v>22</v>
      </c>
      <c r="L55" s="22" t="s">
        <v>23</v>
      </c>
      <c r="M55" s="5" t="s">
        <v>229</v>
      </c>
      <c r="N55" s="5" t="s">
        <v>41</v>
      </c>
      <c r="O55" s="23" t="s">
        <v>230</v>
      </c>
      <c r="P55" s="23" t="s">
        <v>231</v>
      </c>
      <c r="Q55" s="23" t="s">
        <v>232</v>
      </c>
    </row>
    <row r="56" customFormat="false" ht="51.75" hidden="false" customHeight="true" outlineLevel="0" collapsed="false">
      <c r="A56" s="21" t="n">
        <v>55</v>
      </c>
      <c r="B56" s="22" t="s">
        <v>224</v>
      </c>
      <c r="C56" s="22" t="s">
        <v>59</v>
      </c>
      <c r="D56" s="23" t="s">
        <v>233</v>
      </c>
      <c r="E56" s="23" t="s">
        <v>234</v>
      </c>
      <c r="F56" s="21" t="n">
        <v>4</v>
      </c>
      <c r="G56" s="21" t="n">
        <v>3</v>
      </c>
      <c r="H56" s="21" t="n">
        <f aca="false">F56+G56</f>
        <v>7</v>
      </c>
      <c r="I56" s="21" t="n">
        <v>1</v>
      </c>
      <c r="J56" s="22" t="s">
        <v>58</v>
      </c>
      <c r="K56" s="22" t="s">
        <v>22</v>
      </c>
      <c r="L56" s="22" t="s">
        <v>59</v>
      </c>
      <c r="M56" s="5" t="s">
        <v>64</v>
      </c>
      <c r="N56" s="5" t="s">
        <v>235</v>
      </c>
      <c r="O56" s="23" t="s">
        <v>236</v>
      </c>
      <c r="P56" s="23" t="s">
        <v>237</v>
      </c>
      <c r="Q56" s="23" t="s">
        <v>238</v>
      </c>
    </row>
    <row r="57" customFormat="false" ht="51.75" hidden="false" customHeight="true" outlineLevel="0" collapsed="false">
      <c r="A57" s="21" t="n">
        <v>56</v>
      </c>
      <c r="B57" s="22" t="s">
        <v>224</v>
      </c>
      <c r="C57" s="22" t="s">
        <v>239</v>
      </c>
      <c r="D57" s="23" t="s">
        <v>240</v>
      </c>
      <c r="E57" s="23" t="s">
        <v>241</v>
      </c>
      <c r="F57" s="21" t="n">
        <v>4</v>
      </c>
      <c r="G57" s="21" t="n">
        <v>5</v>
      </c>
      <c r="H57" s="21" t="n">
        <f aca="false">F57+G57</f>
        <v>9</v>
      </c>
      <c r="I57" s="21" t="n">
        <v>1</v>
      </c>
      <c r="J57" s="22" t="s">
        <v>58</v>
      </c>
      <c r="K57" s="22" t="s">
        <v>22</v>
      </c>
      <c r="L57" s="22" t="s">
        <v>59</v>
      </c>
      <c r="M57" s="5" t="s">
        <v>60</v>
      </c>
      <c r="N57" s="5" t="s">
        <v>25</v>
      </c>
      <c r="O57" s="23" t="s">
        <v>242</v>
      </c>
      <c r="P57" s="23" t="s">
        <v>243</v>
      </c>
      <c r="Q57" s="23" t="s">
        <v>244</v>
      </c>
    </row>
    <row r="58" customFormat="false" ht="51.75" hidden="false" customHeight="true" outlineLevel="0" collapsed="false">
      <c r="A58" s="21" t="n">
        <v>57</v>
      </c>
      <c r="B58" s="22" t="s">
        <v>224</v>
      </c>
      <c r="C58" s="22" t="s">
        <v>225</v>
      </c>
      <c r="D58" s="23" t="s">
        <v>245</v>
      </c>
      <c r="E58" s="23" t="s">
        <v>246</v>
      </c>
      <c r="F58" s="21" t="n">
        <v>4</v>
      </c>
      <c r="G58" s="21" t="n">
        <v>4</v>
      </c>
      <c r="H58" s="21" t="n">
        <f aca="false">F58+G58</f>
        <v>8</v>
      </c>
      <c r="I58" s="21" t="n">
        <v>2</v>
      </c>
      <c r="J58" s="22" t="s">
        <v>228</v>
      </c>
      <c r="K58" s="22" t="s">
        <v>22</v>
      </c>
      <c r="L58" s="22" t="s">
        <v>23</v>
      </c>
      <c r="M58" s="5" t="s">
        <v>144</v>
      </c>
      <c r="N58" s="5" t="s">
        <v>247</v>
      </c>
      <c r="O58" s="23" t="s">
        <v>248</v>
      </c>
      <c r="P58" s="23" t="s">
        <v>249</v>
      </c>
      <c r="Q58" s="23" t="s">
        <v>250</v>
      </c>
    </row>
    <row r="59" customFormat="false" ht="51.75" hidden="false" customHeight="true" outlineLevel="0" collapsed="false">
      <c r="A59" s="21" t="n">
        <v>58</v>
      </c>
      <c r="B59" s="22" t="s">
        <v>224</v>
      </c>
      <c r="C59" s="22" t="s">
        <v>59</v>
      </c>
      <c r="D59" s="23" t="s">
        <v>251</v>
      </c>
      <c r="E59" s="23" t="s">
        <v>234</v>
      </c>
      <c r="F59" s="21" t="n">
        <v>4</v>
      </c>
      <c r="G59" s="21" t="n">
        <v>3</v>
      </c>
      <c r="H59" s="21" t="n">
        <f aca="false">F59+G59</f>
        <v>7</v>
      </c>
      <c r="I59" s="21" t="n">
        <v>1</v>
      </c>
      <c r="J59" s="22" t="s">
        <v>58</v>
      </c>
      <c r="K59" s="22" t="s">
        <v>22</v>
      </c>
      <c r="L59" s="22" t="s">
        <v>59</v>
      </c>
      <c r="M59" s="5" t="s">
        <v>106</v>
      </c>
      <c r="N59" s="5" t="s">
        <v>25</v>
      </c>
      <c r="O59" s="23"/>
      <c r="P59" s="23"/>
      <c r="Q59" s="23"/>
    </row>
    <row r="60" customFormat="false" ht="51.75" hidden="false" customHeight="true" outlineLevel="0" collapsed="false">
      <c r="A60" s="21" t="n">
        <v>59</v>
      </c>
      <c r="B60" s="22" t="s">
        <v>224</v>
      </c>
      <c r="C60" s="22" t="s">
        <v>59</v>
      </c>
      <c r="D60" s="23" t="s">
        <v>252</v>
      </c>
      <c r="E60" s="23" t="s">
        <v>234</v>
      </c>
      <c r="F60" s="21" t="n">
        <v>4</v>
      </c>
      <c r="G60" s="21" t="n">
        <v>3</v>
      </c>
      <c r="H60" s="21" t="n">
        <f aca="false">F60+G60</f>
        <v>7</v>
      </c>
      <c r="I60" s="21" t="n">
        <v>1</v>
      </c>
      <c r="J60" s="22" t="s">
        <v>58</v>
      </c>
      <c r="K60" s="22" t="s">
        <v>22</v>
      </c>
      <c r="L60" s="22" t="s">
        <v>59</v>
      </c>
      <c r="M60" s="5" t="s">
        <v>106</v>
      </c>
      <c r="N60" s="5" t="s">
        <v>247</v>
      </c>
      <c r="O60" s="23"/>
      <c r="P60" s="23"/>
      <c r="Q60" s="23"/>
    </row>
    <row r="61" customFormat="false" ht="51.75" hidden="false" customHeight="true" outlineLevel="0" collapsed="false">
      <c r="A61" s="21" t="n">
        <v>60</v>
      </c>
      <c r="B61" s="22" t="s">
        <v>224</v>
      </c>
      <c r="C61" s="22" t="s">
        <v>253</v>
      </c>
      <c r="D61" s="23" t="s">
        <v>254</v>
      </c>
      <c r="E61" s="23" t="s">
        <v>255</v>
      </c>
      <c r="F61" s="21" t="n">
        <v>4</v>
      </c>
      <c r="G61" s="21" t="n">
        <v>3</v>
      </c>
      <c r="H61" s="21" t="n">
        <f aca="false">F61+G61</f>
        <v>7</v>
      </c>
      <c r="I61" s="21" t="n">
        <v>1</v>
      </c>
      <c r="J61" s="22" t="s">
        <v>88</v>
      </c>
      <c r="K61" s="22" t="s">
        <v>22</v>
      </c>
      <c r="L61" s="22" t="s">
        <v>23</v>
      </c>
      <c r="M61" s="5" t="s">
        <v>51</v>
      </c>
      <c r="N61" s="5" t="s">
        <v>235</v>
      </c>
      <c r="O61" s="23"/>
      <c r="P61" s="23"/>
      <c r="Q61" s="23"/>
    </row>
    <row r="62" customFormat="false" ht="51.75" hidden="false" customHeight="true" outlineLevel="0" collapsed="false">
      <c r="A62" s="21" t="n">
        <v>61</v>
      </c>
      <c r="B62" s="22" t="s">
        <v>224</v>
      </c>
      <c r="C62" s="22" t="s">
        <v>253</v>
      </c>
      <c r="D62" s="23" t="s">
        <v>256</v>
      </c>
      <c r="E62" s="23" t="s">
        <v>255</v>
      </c>
      <c r="F62" s="21" t="n">
        <v>4</v>
      </c>
      <c r="G62" s="21" t="n">
        <v>3</v>
      </c>
      <c r="H62" s="21" t="n">
        <f aca="false">F62+G62</f>
        <v>7</v>
      </c>
      <c r="I62" s="21" t="n">
        <v>1</v>
      </c>
      <c r="J62" s="22" t="s">
        <v>88</v>
      </c>
      <c r="K62" s="22" t="s">
        <v>22</v>
      </c>
      <c r="L62" s="22" t="s">
        <v>23</v>
      </c>
      <c r="M62" s="5" t="s">
        <v>115</v>
      </c>
      <c r="N62" s="5" t="s">
        <v>25</v>
      </c>
      <c r="O62" s="23"/>
      <c r="P62" s="23"/>
      <c r="Q62" s="23"/>
    </row>
    <row r="63" customFormat="false" ht="51.75" hidden="false" customHeight="true" outlineLevel="0" collapsed="false">
      <c r="A63" s="21" t="n">
        <v>62</v>
      </c>
      <c r="B63" s="22" t="s">
        <v>224</v>
      </c>
      <c r="C63" s="22" t="s">
        <v>253</v>
      </c>
      <c r="D63" s="23" t="s">
        <v>257</v>
      </c>
      <c r="E63" s="23" t="s">
        <v>255</v>
      </c>
      <c r="F63" s="21" t="n">
        <v>4</v>
      </c>
      <c r="G63" s="21" t="n">
        <v>3</v>
      </c>
      <c r="H63" s="21" t="n">
        <f aca="false">F63+G63</f>
        <v>7</v>
      </c>
      <c r="I63" s="21" t="n">
        <v>1</v>
      </c>
      <c r="J63" s="22" t="s">
        <v>88</v>
      </c>
      <c r="K63" s="22" t="s">
        <v>22</v>
      </c>
      <c r="L63" s="22" t="s">
        <v>23</v>
      </c>
      <c r="M63" s="5" t="s">
        <v>70</v>
      </c>
      <c r="N63" s="5" t="s">
        <v>235</v>
      </c>
      <c r="O63" s="23"/>
      <c r="P63" s="23"/>
      <c r="Q63" s="23"/>
    </row>
    <row r="64" customFormat="false" ht="51.75" hidden="false" customHeight="true" outlineLevel="0" collapsed="false">
      <c r="A64" s="21" t="n">
        <v>63</v>
      </c>
      <c r="B64" s="22" t="s">
        <v>224</v>
      </c>
      <c r="C64" s="22" t="s">
        <v>258</v>
      </c>
      <c r="D64" s="23" t="s">
        <v>259</v>
      </c>
      <c r="E64" s="23" t="s">
        <v>260</v>
      </c>
      <c r="F64" s="21" t="n">
        <v>3</v>
      </c>
      <c r="G64" s="21" t="n">
        <v>4</v>
      </c>
      <c r="H64" s="21" t="n">
        <f aca="false">F64+G64</f>
        <v>7</v>
      </c>
      <c r="I64" s="21" t="n">
        <v>1</v>
      </c>
      <c r="J64" s="22" t="s">
        <v>39</v>
      </c>
      <c r="K64" s="22" t="s">
        <v>22</v>
      </c>
      <c r="L64" s="22" t="s">
        <v>23</v>
      </c>
      <c r="M64" s="5" t="s">
        <v>33</v>
      </c>
      <c r="N64" s="5" t="s">
        <v>41</v>
      </c>
      <c r="O64" s="23"/>
      <c r="P64" s="23"/>
      <c r="Q64" s="23"/>
    </row>
    <row r="65" customFormat="false" ht="51.75" hidden="false" customHeight="true" outlineLevel="0" collapsed="false">
      <c r="A65" s="21" t="n">
        <v>64</v>
      </c>
      <c r="B65" s="22" t="s">
        <v>224</v>
      </c>
      <c r="C65" s="22" t="s">
        <v>261</v>
      </c>
      <c r="D65" s="23" t="s">
        <v>262</v>
      </c>
      <c r="E65" s="23" t="s">
        <v>263</v>
      </c>
      <c r="F65" s="21" t="n">
        <v>4</v>
      </c>
      <c r="G65" s="21" t="n">
        <v>4</v>
      </c>
      <c r="H65" s="21" t="n">
        <f aca="false">F65+G65</f>
        <v>8</v>
      </c>
      <c r="I65" s="21" t="n">
        <v>2</v>
      </c>
      <c r="J65" s="22" t="s">
        <v>216</v>
      </c>
      <c r="K65" s="22" t="s">
        <v>22</v>
      </c>
      <c r="L65" s="22" t="s">
        <v>23</v>
      </c>
      <c r="M65" s="5" t="s">
        <v>264</v>
      </c>
      <c r="N65" s="5" t="s">
        <v>25</v>
      </c>
      <c r="O65" s="23"/>
      <c r="P65" s="23"/>
      <c r="Q65" s="23"/>
    </row>
    <row r="66" customFormat="false" ht="51.75" hidden="false" customHeight="true" outlineLevel="0" collapsed="false">
      <c r="A66" s="21" t="n">
        <v>65</v>
      </c>
      <c r="B66" s="22" t="s">
        <v>224</v>
      </c>
      <c r="C66" s="22" t="s">
        <v>265</v>
      </c>
      <c r="D66" s="23" t="s">
        <v>266</v>
      </c>
      <c r="E66" s="23" t="s">
        <v>267</v>
      </c>
      <c r="F66" s="21" t="n">
        <v>4</v>
      </c>
      <c r="G66" s="21" t="n">
        <v>4</v>
      </c>
      <c r="H66" s="21" t="n">
        <f aca="false">F66+G66</f>
        <v>8</v>
      </c>
      <c r="I66" s="21" t="n">
        <v>4</v>
      </c>
      <c r="J66" s="22" t="s">
        <v>166</v>
      </c>
      <c r="K66" s="22" t="s">
        <v>22</v>
      </c>
      <c r="L66" s="22" t="s">
        <v>23</v>
      </c>
      <c r="M66" s="5" t="s">
        <v>109</v>
      </c>
      <c r="N66" s="5" t="s">
        <v>25</v>
      </c>
      <c r="O66" s="23"/>
      <c r="P66" s="23"/>
      <c r="Q66" s="23"/>
    </row>
    <row r="67" customFormat="false" ht="51.75" hidden="false" customHeight="true" outlineLevel="0" collapsed="false">
      <c r="A67" s="21" t="n">
        <v>66</v>
      </c>
      <c r="B67" s="22" t="s">
        <v>224</v>
      </c>
      <c r="C67" s="22" t="s">
        <v>265</v>
      </c>
      <c r="D67" s="23" t="s">
        <v>268</v>
      </c>
      <c r="E67" s="23" t="s">
        <v>269</v>
      </c>
      <c r="F67" s="21" t="n">
        <v>4</v>
      </c>
      <c r="G67" s="21" t="n">
        <v>4</v>
      </c>
      <c r="H67" s="21" t="n">
        <f aca="false">F67+G67</f>
        <v>8</v>
      </c>
      <c r="I67" s="21" t="n">
        <v>3</v>
      </c>
      <c r="J67" s="22" t="s">
        <v>21</v>
      </c>
      <c r="K67" s="22" t="s">
        <v>22</v>
      </c>
      <c r="L67" s="22" t="s">
        <v>23</v>
      </c>
      <c r="M67" s="5" t="s">
        <v>183</v>
      </c>
      <c r="N67" s="5" t="s">
        <v>34</v>
      </c>
      <c r="O67" s="23"/>
      <c r="P67" s="23"/>
      <c r="Q67" s="23"/>
    </row>
    <row r="68" customFormat="false" ht="51.75" hidden="false" customHeight="true" outlineLevel="0" collapsed="false">
      <c r="A68" s="21" t="n">
        <v>67</v>
      </c>
      <c r="B68" s="22" t="s">
        <v>224</v>
      </c>
      <c r="C68" s="22" t="s">
        <v>265</v>
      </c>
      <c r="D68" s="23" t="s">
        <v>270</v>
      </c>
      <c r="E68" s="23" t="s">
        <v>271</v>
      </c>
      <c r="F68" s="21" t="n">
        <v>4</v>
      </c>
      <c r="G68" s="21" t="n">
        <v>4</v>
      </c>
      <c r="H68" s="21" t="n">
        <f aca="false">F68+G68</f>
        <v>8</v>
      </c>
      <c r="I68" s="21" t="n">
        <v>2</v>
      </c>
      <c r="J68" s="22" t="s">
        <v>216</v>
      </c>
      <c r="K68" s="22" t="s">
        <v>22</v>
      </c>
      <c r="L68" s="22" t="s">
        <v>23</v>
      </c>
      <c r="M68" s="5" t="s">
        <v>82</v>
      </c>
      <c r="N68" s="5" t="s">
        <v>34</v>
      </c>
      <c r="O68" s="23"/>
      <c r="P68" s="23"/>
      <c r="Q68" s="23"/>
    </row>
  </sheetData>
  <autoFilter ref="A1:Q68"/>
  <conditionalFormatting sqref="H2:H68">
    <cfRule type="colorScale" priority="2">
      <colorScale>
        <cfvo type="num" val="4"/>
        <cfvo type="num" val="7"/>
        <cfvo type="num" val="10"/>
        <color rgb="FFF8696B"/>
        <color rgb="FFFFEB84"/>
        <color rgb="FF63BE7B"/>
      </colorScale>
    </cfRule>
  </conditionalFormatting>
  <conditionalFormatting sqref="I2:I68">
    <cfRule type="colorScale" priority="3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dataValidations count="1">
    <dataValidation allowBlank="false" errorStyle="stop" operator="between" showDropDown="false" showErrorMessage="false" showInputMessage="false" sqref="L2:L68" type="list">
      <formula1>"Idea,To film,Filmed,To edit,Ready to post"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24" t="s">
        <v>272</v>
      </c>
      <c r="B1" s="24"/>
      <c r="C1" s="24"/>
      <c r="D1" s="24"/>
      <c r="E1" s="24"/>
      <c r="F1" s="24"/>
    </row>
    <row r="3" customFormat="false" ht="15" hidden="false" customHeight="false" outlineLevel="0" collapsed="false">
      <c r="A3" s="25" t="s">
        <v>273</v>
      </c>
      <c r="B3" s="25"/>
    </row>
    <row r="4" customFormat="false" ht="15" hidden="false" customHeight="false" outlineLevel="0" collapsed="false">
      <c r="A4" s="26" t="s">
        <v>274</v>
      </c>
      <c r="B4" s="27" t="n">
        <f aca="false">COUNTA('Video Ideas'!A2:A68)</f>
        <v>67</v>
      </c>
    </row>
    <row r="5" customFormat="false" ht="15" hidden="false" customHeight="false" outlineLevel="0" collapsed="false">
      <c r="A5" s="26" t="s">
        <v>275</v>
      </c>
      <c r="B5" s="27" t="n">
        <f aca="false">ROUND(AVERAGE('Video Ideas'!H2:H68),1)</f>
        <v>8</v>
      </c>
    </row>
    <row r="6" customFormat="false" ht="15" hidden="false" customHeight="false" outlineLevel="0" collapsed="false">
      <c r="A6" s="26" t="s">
        <v>276</v>
      </c>
      <c r="B6" s="27" t="n">
        <f aca="false">COUNTIF('Video Ideas'!J2:J68,"Ready (0 min)")</f>
        <v>6</v>
      </c>
    </row>
    <row r="7" customFormat="false" ht="15" hidden="false" customHeight="false" outlineLevel="0" collapsed="false">
      <c r="A7" s="26" t="s">
        <v>277</v>
      </c>
      <c r="B7" s="27" t="n">
        <f aca="false">COUNTA('Video Ideas'!M2:M68)</f>
        <v>67</v>
      </c>
    </row>
    <row r="8" customFormat="false" ht="15" hidden="false" customHeight="false" outlineLevel="0" collapsed="false">
      <c r="A8" s="26" t="s">
        <v>278</v>
      </c>
      <c r="B8" s="27" t="n">
        <f aca="false">COUNTIFS('Video Ideas'!H2:H68,"&gt;=9",'Video Ideas'!I2:I68,1)</f>
        <v>13</v>
      </c>
    </row>
    <row r="10" customFormat="false" ht="15" hidden="false" customHeight="false" outlineLevel="0" collapsed="false">
      <c r="A10" s="25" t="s">
        <v>279</v>
      </c>
      <c r="B10" s="25"/>
      <c r="C10" s="25"/>
      <c r="D10" s="25"/>
    </row>
    <row r="11" customFormat="false" ht="15" hidden="false" customHeight="false" outlineLevel="0" collapsed="false">
      <c r="A11" s="27" t="s">
        <v>1</v>
      </c>
      <c r="B11" s="27" t="s">
        <v>280</v>
      </c>
      <c r="C11" s="27" t="s">
        <v>281</v>
      </c>
      <c r="D11" s="27" t="s">
        <v>282</v>
      </c>
    </row>
    <row r="12" customFormat="false" ht="15" hidden="false" customHeight="false" outlineLevel="0" collapsed="false">
      <c r="A12" s="28" t="s">
        <v>17</v>
      </c>
      <c r="B12" s="29" t="n">
        <f aca="false">COUNTIF('Video Ideas'!B2:B68,A12)</f>
        <v>2</v>
      </c>
      <c r="C12" s="29" t="n">
        <f aca="false">ROUND(AVERAGEIF('Video Ideas'!B2:B68,A12,'Video Ideas'!H2:H68),1)</f>
        <v>7.5</v>
      </c>
      <c r="D12" s="29" t="n">
        <f aca="false">ROUND(AVERAGEIF('Video Ideas'!B2:B68,A12,'Video Ideas'!I2:I68),1)</f>
        <v>3</v>
      </c>
    </row>
    <row r="13" customFormat="false" ht="15" hidden="false" customHeight="false" outlineLevel="0" collapsed="false">
      <c r="A13" s="30" t="s">
        <v>35</v>
      </c>
      <c r="B13" s="31" t="n">
        <f aca="false">COUNTIF('Video Ideas'!B2:B68,A13)</f>
        <v>21</v>
      </c>
      <c r="C13" s="31" t="n">
        <f aca="false">ROUND(AVERAGEIF('Video Ideas'!B2:B68,A13,'Video Ideas'!H2:H68),1)</f>
        <v>8.2</v>
      </c>
      <c r="D13" s="31" t="n">
        <f aca="false">ROUND(AVERAGEIF('Video Ideas'!B2:B68,A13,'Video Ideas'!I2:I68),1)</f>
        <v>1.2</v>
      </c>
    </row>
    <row r="14" customFormat="false" ht="15" hidden="false" customHeight="false" outlineLevel="0" collapsed="false">
      <c r="A14" s="32" t="s">
        <v>124</v>
      </c>
      <c r="B14" s="33" t="n">
        <f aca="false">COUNTIF('Video Ideas'!B2:B68,A14)</f>
        <v>11</v>
      </c>
      <c r="C14" s="33" t="n">
        <f aca="false">ROUND(AVERAGEIF('Video Ideas'!B2:B68,A14,'Video Ideas'!H2:H68),1)</f>
        <v>7.3</v>
      </c>
      <c r="D14" s="33" t="n">
        <f aca="false">ROUND(AVERAGEIF('Video Ideas'!B2:B68,A14,'Video Ideas'!I2:I68),1)</f>
        <v>1</v>
      </c>
    </row>
    <row r="15" customFormat="false" ht="15" hidden="false" customHeight="false" outlineLevel="0" collapsed="false">
      <c r="A15" s="34" t="s">
        <v>159</v>
      </c>
      <c r="B15" s="35" t="n">
        <f aca="false">COUNTIF('Video Ideas'!B2:B68,A15)</f>
        <v>8</v>
      </c>
      <c r="C15" s="35" t="n">
        <f aca="false">ROUND(AVERAGEIF('Video Ideas'!B2:B68,A15,'Video Ideas'!H2:H68),1)</f>
        <v>7.5</v>
      </c>
      <c r="D15" s="35" t="n">
        <f aca="false">ROUND(AVERAGEIF('Video Ideas'!B2:B68,A15,'Video Ideas'!I2:I68),1)</f>
        <v>2.9</v>
      </c>
    </row>
    <row r="16" customFormat="false" ht="15" hidden="false" customHeight="false" outlineLevel="0" collapsed="false">
      <c r="A16" s="36" t="s">
        <v>187</v>
      </c>
      <c r="B16" s="37" t="n">
        <f aca="false">COUNTIF('Video Ideas'!B2:B68,A16)</f>
        <v>6</v>
      </c>
      <c r="C16" s="37" t="n">
        <f aca="false">ROUND(AVERAGEIF('Video Ideas'!B2:B68,A16,'Video Ideas'!H2:H68),1)</f>
        <v>9.5</v>
      </c>
      <c r="D16" s="37" t="n">
        <f aca="false">ROUND(AVERAGEIF('Video Ideas'!B2:B68,A16,'Video Ideas'!I2:I68),1)</f>
        <v>3</v>
      </c>
    </row>
    <row r="17" customFormat="false" ht="15" hidden="false" customHeight="false" outlineLevel="0" collapsed="false">
      <c r="A17" s="38" t="s">
        <v>203</v>
      </c>
      <c r="B17" s="39" t="n">
        <f aca="false">COUNTIF('Video Ideas'!B2:B68,A17)</f>
        <v>5</v>
      </c>
      <c r="C17" s="39" t="n">
        <f aca="false">ROUND(AVERAGEIF('Video Ideas'!B2:B68,A17,'Video Ideas'!H2:H68),1)</f>
        <v>8.6</v>
      </c>
      <c r="D17" s="39" t="n">
        <f aca="false">ROUND(AVERAGEIF('Video Ideas'!B2:B68,A17,'Video Ideas'!I2:I68),1)</f>
        <v>1.2</v>
      </c>
    </row>
    <row r="18" customFormat="false" ht="15" hidden="false" customHeight="false" outlineLevel="0" collapsed="false">
      <c r="A18" s="40" t="s">
        <v>224</v>
      </c>
      <c r="B18" s="41" t="n">
        <f aca="false">COUNTIF('Video Ideas'!B2:B68,A18)</f>
        <v>14</v>
      </c>
      <c r="C18" s="41" t="n">
        <f aca="false">ROUND(AVERAGEIF('Video Ideas'!B2:B68,A18,'Video Ideas'!H2:H68),1)</f>
        <v>7.6</v>
      </c>
      <c r="D18" s="41" t="n">
        <f aca="false">ROUND(AVERAGEIF('Video Ideas'!B2:B68,A18,'Video Ideas'!I2:I68),1)</f>
        <v>1.6</v>
      </c>
    </row>
    <row r="20" customFormat="false" ht="15" hidden="false" customHeight="false" outlineLevel="0" collapsed="false">
      <c r="A20" s="25" t="s">
        <v>283</v>
      </c>
      <c r="B20" s="25"/>
      <c r="C20" s="25"/>
      <c r="D20" s="25"/>
      <c r="E20" s="25"/>
      <c r="F20" s="25"/>
    </row>
    <row r="21" customFormat="false" ht="15" hidden="false" customHeight="false" outlineLevel="0" collapsed="false">
      <c r="A21" s="42" t="s">
        <v>3</v>
      </c>
      <c r="B21" s="42" t="s">
        <v>1</v>
      </c>
      <c r="C21" s="42" t="s">
        <v>284</v>
      </c>
      <c r="D21" s="42" t="s">
        <v>285</v>
      </c>
      <c r="E21" s="42" t="s">
        <v>10</v>
      </c>
      <c r="F21" s="42" t="s">
        <v>12</v>
      </c>
    </row>
    <row r="22" customFormat="false" ht="15" hidden="false" customHeight="false" outlineLevel="0" collapsed="false">
      <c r="A22" s="43" t="str">
        <f aca="false">'Video Ideas'!D4</f>
        <v>My current best XI</v>
      </c>
      <c r="B22" s="44" t="str">
        <f aca="false">'Video Ideas'!B4</f>
        <v>Collection Journey</v>
      </c>
      <c r="C22" s="44" t="n">
        <f aca="false">'Video Ideas'!H4</f>
        <v>9</v>
      </c>
      <c r="D22" s="44" t="n">
        <f aca="false">'Video Ideas'!I4</f>
        <v>1</v>
      </c>
      <c r="E22" s="44" t="str">
        <f aca="false">'Video Ideas'!K4</f>
        <v>Yes</v>
      </c>
      <c r="F22" s="44" t="str">
        <f aca="false">'Video Ideas'!M4</f>
        <v>20/06</v>
      </c>
    </row>
    <row r="23" customFormat="false" ht="15" hidden="false" customHeight="false" outlineLevel="0" collapsed="false">
      <c r="A23" s="43" t="str">
        <f aca="false">'Video Ideas'!D9</f>
        <v>Album completion: 50%</v>
      </c>
      <c r="B23" s="44" t="str">
        <f aca="false">'Video Ideas'!B9</f>
        <v>Collection Journey</v>
      </c>
      <c r="C23" s="44" t="n">
        <f aca="false">'Video Ideas'!H9</f>
        <v>9</v>
      </c>
      <c r="D23" s="44" t="n">
        <f aca="false">'Video Ideas'!I9</f>
        <v>1</v>
      </c>
      <c r="E23" s="44" t="str">
        <f aca="false">'Video Ideas'!K9</f>
        <v>Yes</v>
      </c>
      <c r="F23" s="44" t="str">
        <f aca="false">'Video Ideas'!M9</f>
        <v>17/06</v>
      </c>
    </row>
    <row r="24" customFormat="false" ht="15" hidden="false" customHeight="false" outlineLevel="0" collapsed="false">
      <c r="A24" s="43" t="str">
        <f aca="false">'Video Ideas'!D10</f>
        <v>Album completion: 65%</v>
      </c>
      <c r="B24" s="44" t="str">
        <f aca="false">'Video Ideas'!B10</f>
        <v>Collection Journey</v>
      </c>
      <c r="C24" s="44" t="n">
        <f aca="false">'Video Ideas'!H10</f>
        <v>9</v>
      </c>
      <c r="D24" s="44" t="n">
        <f aca="false">'Video Ideas'!I10</f>
        <v>1</v>
      </c>
      <c r="E24" s="44" t="str">
        <f aca="false">'Video Ideas'!K10</f>
        <v>Yes</v>
      </c>
      <c r="F24" s="44" t="str">
        <f aca="false">'Video Ideas'!M10</f>
        <v>27/06</v>
      </c>
    </row>
    <row r="25" customFormat="false" ht="15" hidden="false" customHeight="false" outlineLevel="0" collapsed="false">
      <c r="A25" s="43" t="str">
        <f aca="false">'Video Ideas'!D11</f>
        <v>Album completion: 75%</v>
      </c>
      <c r="B25" s="44" t="str">
        <f aca="false">'Video Ideas'!B11</f>
        <v>Collection Journey</v>
      </c>
      <c r="C25" s="44" t="n">
        <f aca="false">'Video Ideas'!H11</f>
        <v>9</v>
      </c>
      <c r="D25" s="44" t="n">
        <f aca="false">'Video Ideas'!I11</f>
        <v>1</v>
      </c>
      <c r="E25" s="44" t="str">
        <f aca="false">'Video Ideas'!K11</f>
        <v>Yes</v>
      </c>
      <c r="F25" s="44" t="str">
        <f aca="false">'Video Ideas'!M11</f>
        <v>04/07</v>
      </c>
    </row>
    <row r="26" customFormat="false" ht="15" hidden="false" customHeight="false" outlineLevel="0" collapsed="false">
      <c r="A26" s="43" t="str">
        <f aca="false">'Video Ideas'!D12</f>
        <v>Album completion: 80%</v>
      </c>
      <c r="B26" s="44" t="str">
        <f aca="false">'Video Ideas'!B12</f>
        <v>Collection Journey</v>
      </c>
      <c r="C26" s="44" t="n">
        <f aca="false">'Video Ideas'!H12</f>
        <v>9</v>
      </c>
      <c r="D26" s="44" t="n">
        <f aca="false">'Video Ideas'!I12</f>
        <v>1</v>
      </c>
      <c r="E26" s="44" t="str">
        <f aca="false">'Video Ideas'!K12</f>
        <v>Yes</v>
      </c>
      <c r="F26" s="44" t="str">
        <f aca="false">'Video Ideas'!M12</f>
        <v>07/07</v>
      </c>
    </row>
    <row r="27" customFormat="false" ht="15" hidden="false" customHeight="false" outlineLevel="0" collapsed="false">
      <c r="A27" s="43" t="str">
        <f aca="false">'Video Ideas'!D13</f>
        <v>Album completion: 85%</v>
      </c>
      <c r="B27" s="44" t="str">
        <f aca="false">'Video Ideas'!B13</f>
        <v>Collection Journey</v>
      </c>
      <c r="C27" s="44" t="n">
        <f aca="false">'Video Ideas'!H13</f>
        <v>9</v>
      </c>
      <c r="D27" s="44" t="n">
        <f aca="false">'Video Ideas'!I13</f>
        <v>1</v>
      </c>
      <c r="E27" s="44" t="str">
        <f aca="false">'Video Ideas'!K13</f>
        <v>Yes</v>
      </c>
      <c r="F27" s="44" t="str">
        <f aca="false">'Video Ideas'!M13</f>
        <v>11/07</v>
      </c>
    </row>
    <row r="28" customFormat="false" ht="15" hidden="false" customHeight="false" outlineLevel="0" collapsed="false">
      <c r="A28" s="43" t="str">
        <f aca="false">'Video Ideas'!D14</f>
        <v>Album completion: 90%</v>
      </c>
      <c r="B28" s="44" t="str">
        <f aca="false">'Video Ideas'!B14</f>
        <v>Collection Journey</v>
      </c>
      <c r="C28" s="44" t="n">
        <f aca="false">'Video Ideas'!H14</f>
        <v>9</v>
      </c>
      <c r="D28" s="44" t="n">
        <f aca="false">'Video Ideas'!I14</f>
        <v>1</v>
      </c>
      <c r="E28" s="44" t="str">
        <f aca="false">'Video Ideas'!K14</f>
        <v>Yes</v>
      </c>
      <c r="F28" s="44" t="str">
        <f aca="false">'Video Ideas'!M14</f>
        <v>13/07</v>
      </c>
    </row>
    <row r="29" customFormat="false" ht="15" hidden="false" customHeight="false" outlineLevel="0" collapsed="false">
      <c r="A29" s="43" t="str">
        <f aca="false">'Video Ideas'!D15</f>
        <v>Album completion: 95%</v>
      </c>
      <c r="B29" s="44" t="str">
        <f aca="false">'Video Ideas'!B15</f>
        <v>Collection Journey</v>
      </c>
      <c r="C29" s="44" t="n">
        <f aca="false">'Video Ideas'!H15</f>
        <v>9</v>
      </c>
      <c r="D29" s="44" t="n">
        <f aca="false">'Video Ideas'!I15</f>
        <v>1</v>
      </c>
      <c r="E29" s="44" t="str">
        <f aca="false">'Video Ideas'!K15</f>
        <v>Yes</v>
      </c>
      <c r="F29" s="44" t="str">
        <f aca="false">'Video Ideas'!M15</f>
        <v>14/07</v>
      </c>
    </row>
    <row r="30" customFormat="false" ht="15" hidden="false" customHeight="false" outlineLevel="0" collapsed="false">
      <c r="A30" s="43" t="str">
        <f aca="false">'Video Ideas'!D25</f>
        <v>Complete squad: Brazil</v>
      </c>
      <c r="B30" s="44" t="str">
        <f aca="false">'Video Ideas'!B25</f>
        <v>Country Series (Complete Squad)</v>
      </c>
      <c r="C30" s="44" t="n">
        <f aca="false">'Video Ideas'!H25</f>
        <v>9</v>
      </c>
      <c r="D30" s="44" t="n">
        <f aca="false">'Video Ideas'!I25</f>
        <v>1</v>
      </c>
      <c r="E30" s="44" t="str">
        <f aca="false">'Video Ideas'!K25</f>
        <v>Optional</v>
      </c>
      <c r="F30" s="44" t="str">
        <f aca="false">'Video Ideas'!M25</f>
        <v>20/06</v>
      </c>
    </row>
    <row r="31" customFormat="false" ht="15" hidden="false" customHeight="false" outlineLevel="0" collapsed="false">
      <c r="A31" s="43" t="str">
        <f aca="false">'Video Ideas'!D26</f>
        <v>Complete squad: France</v>
      </c>
      <c r="B31" s="44" t="str">
        <f aca="false">'Video Ideas'!B26</f>
        <v>Country Series (Complete Squad)</v>
      </c>
      <c r="C31" s="44" t="n">
        <f aca="false">'Video Ideas'!H26</f>
        <v>9</v>
      </c>
      <c r="D31" s="44" t="n">
        <f aca="false">'Video Ideas'!I26</f>
        <v>1</v>
      </c>
      <c r="E31" s="44" t="str">
        <f aca="false">'Video Ideas'!K26</f>
        <v>Optional</v>
      </c>
      <c r="F31" s="44" t="str">
        <f aca="false">'Video Ideas'!M26</f>
        <v>26/06</v>
      </c>
    </row>
    <row r="32" customFormat="false" ht="15" hidden="false" customHeight="false" outlineLevel="0" collapsed="false">
      <c r="A32" s="43" t="str">
        <f aca="false">'Video Ideas'!D51</f>
        <v>"Exchange alert" live matching</v>
      </c>
      <c r="B32" s="44" t="str">
        <f aca="false">'Video Ideas'!B51</f>
        <v>Doubles &amp; Swap Demo</v>
      </c>
      <c r="C32" s="44" t="n">
        <f aca="false">'Video Ideas'!H51</f>
        <v>9</v>
      </c>
      <c r="D32" s="44" t="n">
        <f aca="false">'Video Ideas'!I51</f>
        <v>1</v>
      </c>
      <c r="E32" s="44" t="str">
        <f aca="false">'Video Ideas'!K51</f>
        <v>Yes</v>
      </c>
      <c r="F32" s="44" t="str">
        <f aca="false">'Video Ideas'!M51</f>
        <v>20/06</v>
      </c>
    </row>
    <row r="33" customFormat="false" ht="15" hidden="false" customHeight="false" outlineLevel="0" collapsed="false">
      <c r="A33" s="43" t="str">
        <f aca="false">'Video Ideas'!D54</f>
        <v>Quick swap demo — filmed on the spot</v>
      </c>
      <c r="B33" s="44" t="str">
        <f aca="false">'Video Ideas'!B54</f>
        <v>Doubles &amp; Swap Demo</v>
      </c>
      <c r="C33" s="44" t="n">
        <f aca="false">'Video Ideas'!H54</f>
        <v>10</v>
      </c>
      <c r="D33" s="44" t="n">
        <f aca="false">'Video Ideas'!I54</f>
        <v>1</v>
      </c>
      <c r="E33" s="44" t="str">
        <f aca="false">'Video Ideas'!K54</f>
        <v>Yes</v>
      </c>
      <c r="F33" s="44" t="str">
        <f aca="false">'Video Ideas'!M54</f>
        <v>17/06</v>
      </c>
    </row>
    <row r="34" customFormat="false" ht="15" hidden="false" customHeight="false" outlineLevel="0" collapsed="false">
      <c r="A34" s="43" t="str">
        <f aca="false">'Video Ideas'!D57</f>
        <v>Pack Opening #11 — Messi themed</v>
      </c>
      <c r="B34" s="44" t="str">
        <f aca="false">'Video Ideas'!B57</f>
        <v>Pack Opening Series</v>
      </c>
      <c r="C34" s="44" t="n">
        <f aca="false">'Video Ideas'!H57</f>
        <v>9</v>
      </c>
      <c r="D34" s="44" t="n">
        <f aca="false">'Video Ideas'!I57</f>
        <v>1</v>
      </c>
      <c r="E34" s="44" t="str">
        <f aca="false">'Video Ideas'!K57</f>
        <v>Yes</v>
      </c>
      <c r="F34" s="44" t="str">
        <f aca="false">'Video Ideas'!M57</f>
        <v>18/06</v>
      </c>
    </row>
  </sheetData>
  <mergeCells count="4">
    <mergeCell ref="A1:F1"/>
    <mergeCell ref="A3:B3"/>
    <mergeCell ref="A10:D10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2026-06-16T14:38:27Z</dcterms:created>
  <dc:creator>openpyxl</dc:creator>
  <dc:description/>
  <dc:language>en-US</dc:language>
  <cp:lastModifiedBy/>
  <dcterms:modified xsi:type="dcterms:W3CDTF">2026-06-16T14:38:27Z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