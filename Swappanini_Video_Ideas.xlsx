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ideo Ideas" sheetId="1" state="visible" r:id="rId3"/>
    <sheet name="Executive Summary" sheetId="2" state="visible" r:id="rId4"/>
  </sheets>
  <definedNames>
    <definedName function="false" hidden="true" localSheetId="0" name="_xlnm._FilterDatabase" vbProcedure="false">'Video Ideas'!$A$1:$K$45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<sst xmlns="http://schemas.openxmlformats.org/spreadsheetml/2006/main" count="305" uniqueCount="156">
  <si>
    <t xml:space="preserve">ID</t>
  </si>
  <si>
    <t xml:space="preserve">Theme</t>
  </si>
  <si>
    <t xml:space="preserve">Sub-theme</t>
  </si>
  <si>
    <t xml:space="preserve">Video Idea</t>
  </si>
  <si>
    <t xml:space="preserve">Description / Format</t>
  </si>
  <si>
    <t xml:space="preserve">Project Relevance (1-5)</t>
  </si>
  <si>
    <t xml:space="preserve">Virality Potential (1-5)</t>
  </si>
  <si>
    <t xml:space="preserve">Priority Score (/10)</t>
  </si>
  <si>
    <t xml:space="preserve">Complexity (1-5)</t>
  </si>
  <si>
    <t xml:space="preserve">Est. Production Time</t>
  </si>
  <si>
    <t xml:space="preserve">Face Cam Required</t>
  </si>
  <si>
    <t xml:space="preserve">Brand &amp; Promo</t>
  </si>
  <si>
    <t xml:space="preserve">App launch</t>
  </si>
  <si>
    <t xml:space="preserve">Hero promo video</t>
  </si>
  <si>
    <t xml:space="preserve">Explain the Swappanini concept to camera with on-screen app demo (decide: keep UI overlay visible throughout, or cut away to clean talking-head)</t>
  </si>
  <si>
    <t xml:space="preserve">30-45 min</t>
  </si>
  <si>
    <t xml:space="preserve">Yes</t>
  </si>
  <si>
    <t xml:space="preserve">Community concept</t>
  </si>
  <si>
    <t xml:space="preserve">"Collective album" video</t>
  </si>
  <si>
    <t xml:space="preserve">Show the shared/community swap experience - multiple collectors' albums coming together visually</t>
  </si>
  <si>
    <t xml:space="preserve">Optional</t>
  </si>
  <si>
    <t xml:space="preserve">Collection Journey</t>
  </si>
  <si>
    <t xml:space="preserve">Player content</t>
  </si>
  <si>
    <t xml:space="preserve">Chant videos for players</t>
  </si>
  <si>
    <t xml:space="preserve">Short chants/songs dedicated to players whose stickers you have</t>
  </si>
  <si>
    <t xml:space="preserve">10-15 min</t>
  </si>
  <si>
    <t xml:space="preserve">Completion countdown</t>
  </si>
  <si>
    <t xml:space="preserve">"My last 11 stickers"</t>
  </si>
  <si>
    <t xml:space="preserve">Reveal the final 11 missing stickers needed to complete the album</t>
  </si>
  <si>
    <t xml:space="preserve">Tips &amp; tricks</t>
  </si>
  <si>
    <t xml:space="preserve">Coca-Cola pack-opening trick</t>
  </si>
  <si>
    <t xml:space="preserve">Lifehack technique using a Coca-Cola can/bottle to 'control' which sticker comes out of a pack</t>
  </si>
  <si>
    <t xml:space="preserve">&lt;1 min</t>
  </si>
  <si>
    <t xml:space="preserve">No</t>
  </si>
  <si>
    <t xml:space="preserve">Bloopers</t>
  </si>
  <si>
    <t xml:space="preserve">"It's badly glued"</t>
  </si>
  <si>
    <t xml:space="preserve">Quick funny fail - a sticker glued wrong/crooked in the album</t>
  </si>
  <si>
    <t xml:space="preserve">Collection showcase</t>
  </si>
  <si>
    <t xml:space="preserve">All my crests/badges</t>
  </si>
  <si>
    <t xml:space="preserve">Showcase the full crest/badge page of the album</t>
  </si>
  <si>
    <t xml:space="preserve">All the packs I've bought</t>
  </si>
  <si>
    <t xml:space="preserve">Haul-style video of every pack purchased so far</t>
  </si>
  <si>
    <t xml:space="preserve">Progress milestones</t>
  </si>
  <si>
    <t xml:space="preserve">Album completion % series</t>
  </si>
  <si>
    <t xml:space="preserve">Recurring short updates at 50/65/75/80/85/90/95/100% completion (series of 8 short videos)</t>
  </si>
  <si>
    <t xml:space="preserve">&lt;1 min each</t>
  </si>
  <si>
    <t xml:space="preserve">Country Series (Complete Squad)</t>
  </si>
  <si>
    <t xml:space="preserve">Team set</t>
  </si>
  <si>
    <t xml:space="preserve">Complete squad: Brazil</t>
  </si>
  <si>
    <t xml:space="preserve">Lay out and film every sticker for this national team</t>
  </si>
  <si>
    <t xml:space="preserve">Complete squad: France</t>
  </si>
  <si>
    <t xml:space="preserve">Lay out and film every sticker for this national team (home audience)</t>
  </si>
  <si>
    <t xml:space="preserve">Complete squad: England</t>
  </si>
  <si>
    <t xml:space="preserve">Complete squad: Spain</t>
  </si>
  <si>
    <t xml:space="preserve">Complete squad: Uruguay</t>
  </si>
  <si>
    <t xml:space="preserve">Complete squad: Colombia</t>
  </si>
  <si>
    <t xml:space="preserve">Complete squad: Scotland</t>
  </si>
  <si>
    <t xml:space="preserve">Complete squad: Ecuador</t>
  </si>
  <si>
    <t xml:space="preserve">Lay out and film every sticker for this national team - ties into the 'send him Ecuador' joke (cross-promo)</t>
  </si>
  <si>
    <t xml:space="preserve">Complete squad: Panama</t>
  </si>
  <si>
    <t xml:space="preserve">Lay out and film every sticker for this national team - novelty: first-ever World Cup squad</t>
  </si>
  <si>
    <t xml:space="preserve">Complete squad: Bosnia</t>
  </si>
  <si>
    <t xml:space="preserve">Complete squad: DR Congo</t>
  </si>
  <si>
    <t xml:space="preserve">Lay out and film every sticker for this national team - novelty: qualification storyline</t>
  </si>
  <si>
    <t xml:space="preserve">Humor &amp; Sketches</t>
  </si>
  <si>
    <t xml:space="preserve">Delivery parody</t>
  </si>
  <si>
    <t xml:space="preserve">Sticker pack "Uber Eats" delivery</t>
  </si>
  <si>
    <t xml:space="preserve">Sketch: a pack delivered to your door like a food order, with a 'delivery driver' cameo</t>
  </si>
  <si>
    <t xml:space="preserve">Eurostar pack delivery</t>
  </si>
  <si>
    <t xml:space="preserve">Same delivery gag but set on/around the Eurostar - international swap angle</t>
  </si>
  <si>
    <t xml:space="preserve">45-60 min</t>
  </si>
  <si>
    <t xml:space="preserve">Couple sketch</t>
  </si>
  <si>
    <t xml:space="preserve">"Forget your boyfriend while shopping"</t>
  </si>
  <si>
    <t xml:space="preserve">Sketch about getting lost in sticker shopping and abandoning your partner</t>
  </si>
  <si>
    <t xml:space="preserve">Trend audio</t>
  </si>
  <si>
    <t xml:space="preserve">"I don't cook, I don't clean" (...I collect stickers)</t>
  </si>
  <si>
    <t xml:space="preserve">Adapt the trending audio format to the sticker-collector persona</t>
  </si>
  <si>
    <t xml:space="preserve">"Please send him Ecuador!"</t>
  </si>
  <si>
    <t xml:space="preserve">Couple travels to the country where a player's career began/ended; punchline - she begs for the missing Ecuador sticker</t>
  </si>
  <si>
    <t xml:space="preserve">Food/travel trend</t>
  </si>
  <si>
    <t xml:space="preserve">7 countries / 7 meals</t>
  </si>
  <si>
    <t xml:space="preserve">World Cup-themed food tour - 7 national dishes in one video, tie back to swapping with collectors from those countries</t>
  </si>
  <si>
    <t xml:space="preserve">1h+</t>
  </si>
  <si>
    <t xml:space="preserve">Treasure hunt</t>
  </si>
  <si>
    <t xml:space="preserve">Stickers hidden in Paris</t>
  </si>
  <si>
    <t xml:space="preserve">Hide stickers around Paris (street / embassy) and challenge followers to find them - drives app installs via clue-based hunt</t>
  </si>
  <si>
    <t xml:space="preserve">Travel trend</t>
  </si>
  <si>
    <t xml:space="preserve">Player "tour guide" walk around Paris</t>
  </si>
  <si>
    <t xml:space="preserve">Adapt the 'your bestie takes you everywhere' trend with a player-themed walking tour</t>
  </si>
  <si>
    <t xml:space="preserve">Street parody</t>
  </si>
  <si>
    <t xml:space="preserve">"Pack dealer" at the bottom of the block</t>
  </si>
  <si>
    <t xml:space="preserve">Parody of street-dealer slang/aesthetic, but 'dealing' sticker packs</t>
  </si>
  <si>
    <t xml:space="preserve">Doubles &amp; Swap Demo</t>
  </si>
  <si>
    <t xml:space="preserve">Lineup showcase</t>
  </si>
  <si>
    <t xml:space="preserve">"My best XI in doubles"</t>
  </si>
  <si>
    <t xml:space="preserve">Build a starting XI entirely from duplicate stickers - shows swap inventory at a glance</t>
  </si>
  <si>
    <t xml:space="preserve">Call to action</t>
  </si>
  <si>
    <t xml:space="preserve">"Exchange alert" live matching</t>
  </si>
  <si>
    <t xml:space="preserve">Ask viewers to comment what they have/need; match live in comments/replies</t>
  </si>
  <si>
    <t xml:space="preserve">15-20 min</t>
  </si>
  <si>
    <t xml:space="preserve">Inventory</t>
  </si>
  <si>
    <t xml:space="preserve">All my doubles</t>
  </si>
  <si>
    <t xml:space="preserve">Full inventory showcase of every duplicate sticker owned</t>
  </si>
  <si>
    <t xml:space="preserve">Before/after</t>
  </si>
  <si>
    <t xml:space="preserve">A few cards on the move - swap demo</t>
  </si>
  <si>
    <t xml:space="preserve">Before/after demo showing how a small number of card moves completes two collections</t>
  </si>
  <si>
    <t xml:space="preserve">20-30 min</t>
  </si>
  <si>
    <t xml:space="preserve">Platform demo</t>
  </si>
  <si>
    <t xml:space="preserve">Swap from the app - walkthrough</t>
  </si>
  <si>
    <t xml:space="preserve">Screen-recorded live demo of completing a swap on the Swappanini platform</t>
  </si>
  <si>
    <t xml:space="preserve">30 min</t>
  </si>
  <si>
    <t xml:space="preserve">Pack Opening Series</t>
  </si>
  <si>
    <t xml:space="preserve">Ready to post</t>
  </si>
  <si>
    <t xml:space="preserve">Pack opening #9</t>
  </si>
  <si>
    <t xml:space="preserve">Already filmed/edited - ready to publish</t>
  </si>
  <si>
    <t xml:space="preserve">Ready (0 min)</t>
  </si>
  <si>
    <t xml:space="preserve">Pack opening #10</t>
  </si>
  <si>
    <t xml:space="preserve">Pack opening #11</t>
  </si>
  <si>
    <t xml:space="preserve">Home edit batch</t>
  </si>
  <si>
    <t xml:space="preserve">3 pack openings (CapCut, at home)</t>
  </si>
  <si>
    <t xml:space="preserve">Film/edit 3 standard pack-opening videos at home</t>
  </si>
  <si>
    <t xml:space="preserve">15-20 min each</t>
  </si>
  <si>
    <t xml:space="preserve">Recurring bit</t>
  </si>
  <si>
    <t xml:space="preserve">"Fake pack" gag - continued</t>
  </si>
  <si>
    <t xml:space="preserve">Continue the recurring fake-pack prank format</t>
  </si>
  <si>
    <t xml:space="preserve">Competitive format</t>
  </si>
  <si>
    <t xml:space="preserve">Pack-opening duel</t>
  </si>
  <si>
    <t xml:space="preserve">Head-to-head pack opening vs. a friend/creator - who pulls the better player</t>
  </si>
  <si>
    <t xml:space="preserve">Star player</t>
  </si>
  <si>
    <t xml:space="preserve">Messi-themed pack opening</t>
  </si>
  <si>
    <t xml:space="preserve">Pack opening framed entirely around pulling a Messi card</t>
  </si>
  <si>
    <t xml:space="preserve">Live reaction</t>
  </si>
  <si>
    <t xml:space="preserve">2 packs during France match</t>
  </si>
  <si>
    <t xml:space="preserve">Open 2 packs live during a France match for timely reaction content</t>
  </si>
  <si>
    <t xml:space="preserve">20 min (match-timed)</t>
  </si>
  <si>
    <t xml:space="preserve">Travel/location</t>
  </si>
  <si>
    <t xml:space="preserve">Eurostar / London / hotel-room / meetup pack opening</t>
  </si>
  <si>
    <t xml:space="preserve">Pack opening filmed on the Eurostar, in London, in a hotel room, or at a community meetup</t>
  </si>
  <si>
    <t xml:space="preserve">2 packs during Scotland/Morocco match</t>
  </si>
  <si>
    <t xml:space="preserve">Open 2 packs live during the Scotland-Morocco match</t>
  </si>
  <si>
    <t xml:space="preserve">Swappanini - Video Content Brainstorm: Executive Summary</t>
  </si>
  <si>
    <t xml:space="preserve">Key Stats</t>
  </si>
  <si>
    <t xml:space="preserve">Total ideas logged</t>
  </si>
  <si>
    <t xml:space="preserve">Average Priority Score (/10)</t>
  </si>
  <si>
    <t xml:space="preserve">Ideas ready to post NOW (no filming needed)</t>
  </si>
  <si>
    <t xml:space="preserve">Ideas requiring face cam</t>
  </si>
  <si>
    <t xml:space="preserve">Quick wins (Priority &gt;=8 AND Complexity &lt;=2)</t>
  </si>
  <si>
    <t xml:space="preserve">Breakdown by Theme</t>
  </si>
  <si>
    <t xml:space="preserve"># Ideas</t>
  </si>
  <si>
    <t xml:space="preserve">Avg Priority</t>
  </si>
  <si>
    <t xml:space="preserve">Avg Complexity</t>
  </si>
  <si>
    <t xml:space="preserve">Quick Wins - Publish First (High Priority, Low Complexity)</t>
  </si>
  <si>
    <t xml:space="preserve">Priority</t>
  </si>
  <si>
    <t xml:space="preserve">Complexity</t>
  </si>
  <si>
    <t xml:space="preserve">Face Cam</t>
  </si>
  <si>
    <t xml:space="preserve">Big Bets - High Impact, Higher Effort (Flagship Content)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</si>
</sst>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B3B1A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3B1A"/>
        <bgColor rgb="FF333300"/>
      </patternFill>
    </fill>
    <fill>
      <patternFill patternType="solid">
        <fgColor rgb="FFE8F5E9"/>
        <bgColor rgb="FFE3F2FD"/>
      </patternFill>
    </fill>
    <fill>
      <patternFill patternType="solid">
        <fgColor rgb="FFE3F2FD"/>
        <bgColor rgb="FFE8F5E9"/>
      </patternFill>
    </fill>
    <fill>
      <patternFill patternType="solid">
        <fgColor rgb="FFFFF3E0"/>
        <bgColor rgb="FFFFFDE7"/>
      </patternFill>
    </fill>
    <fill>
      <patternFill patternType="solid">
        <fgColor rgb="FFFCE4EC"/>
        <bgColor rgb="FFEDE7F6"/>
      </patternFill>
    </fill>
    <fill>
      <patternFill patternType="solid">
        <fgColor rgb="FFEDE7F6"/>
        <bgColor rgb="FFFCE4EC"/>
      </patternFill>
    </fill>
    <fill>
      <patternFill patternType="solid">
        <fgColor rgb="FFFFFDE7"/>
        <bgColor rgb="FFFFF3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1B3B1A"/>
          <bgColor rgb="FF000000"/>
        </patternFill>
      </fill>
    </dxf>
    <dxf>
      <fill>
        <patternFill patternType="solid">
          <fgColor rgb="FFE3F2FD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EDE7F6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fgColor rgb="FFFFFDE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97CD7E"/>
          <bgColor rgb="FF000000"/>
        </patternFill>
      </fill>
    </dxf>
    <dxf>
      <fill>
        <patternFill patternType="solid">
          <fgColor rgb="FFCBDC81"/>
          <bgColor rgb="FF000000"/>
        </patternFill>
      </fill>
    </dxf>
    <dxf>
      <fill>
        <patternFill patternType="solid">
          <fgColor rgb="FFFCBF7B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B1D47F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CAA7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DE7"/>
      <rgbColor rgb="FFE3F2FD"/>
      <rgbColor rgb="FF660066"/>
      <rgbColor rgb="FFFF8080"/>
      <rgbColor rgb="FF0066CC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CFFCC"/>
      <rgbColor rgb="FFFFF3E0"/>
      <rgbColor rgb="FF99CCFF"/>
      <rgbColor rgb="FFFF99CC"/>
      <rgbColor rgb="FFCC99FF"/>
      <rgbColor rgb="FFFCE4E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3B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32"/>
    <col collapsed="false" customWidth="true" hidden="false" outlineLevel="0" max="5" min="5" style="0" width="55"/>
    <col collapsed="false" customWidth="true" hidden="false" outlineLevel="0" max="9" min="6" style="0" width="10"/>
    <col collapsed="false" customWidth="true" hidden="false" outlineLevel="0" max="10" min="10" style="0" width="18"/>
    <col collapsed="false" customWidth="true" hidden="false" outlineLevel="0" max="11" min="11" style="0" width="14"/>
  </cols>
  <sheetData>
    <row r="1" customFormat="false" ht="64.9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48" hidden="false" customHeight="true" outlineLevel="0" collapsed="false">
      <c r="A2" s="2" t="n">
        <v>1</v>
      </c>
      <c r="B2" s="3" t="s">
        <v>11</v>
      </c>
      <c r="C2" s="3" t="s">
        <v>12</v>
      </c>
      <c r="D2" s="4" t="s">
        <v>13</v>
      </c>
      <c r="E2" s="4" t="s">
        <v>14</v>
      </c>
      <c r="F2" s="2" t="n">
        <v>5</v>
      </c>
      <c r="G2" s="2" t="n">
        <v>2</v>
      </c>
      <c r="H2" s="2" t="n">
        <f aca="false">F2+G2</f>
        <v>7</v>
      </c>
      <c r="I2" s="2" t="n">
        <v>3</v>
      </c>
      <c r="J2" s="3" t="s">
        <v>15</v>
      </c>
      <c r="K2" s="3" t="s">
        <v>16</v>
      </c>
    </row>
    <row r="3" customFormat="false" ht="48" hidden="false" customHeight="true" outlineLevel="0" collapsed="false">
      <c r="A3" s="2" t="n">
        <v>2</v>
      </c>
      <c r="B3" s="3" t="s">
        <v>11</v>
      </c>
      <c r="C3" s="3" t="s">
        <v>17</v>
      </c>
      <c r="D3" s="4" t="s">
        <v>18</v>
      </c>
      <c r="E3" s="4" t="s">
        <v>19</v>
      </c>
      <c r="F3" s="2" t="n">
        <v>5</v>
      </c>
      <c r="G3" s="2" t="n">
        <v>3</v>
      </c>
      <c r="H3" s="2" t="n">
        <f aca="false">F3+G3</f>
        <v>8</v>
      </c>
      <c r="I3" s="2" t="n">
        <v>3</v>
      </c>
      <c r="J3" s="3" t="s">
        <v>15</v>
      </c>
      <c r="K3" s="3" t="s">
        <v>20</v>
      </c>
    </row>
    <row r="4" customFormat="false" ht="48" hidden="false" customHeight="true" outlineLevel="0" collapsed="false">
      <c r="A4" s="5" t="n">
        <v>3</v>
      </c>
      <c r="B4" s="6" t="s">
        <v>21</v>
      </c>
      <c r="C4" s="6" t="s">
        <v>22</v>
      </c>
      <c r="D4" s="7" t="s">
        <v>23</v>
      </c>
      <c r="E4" s="7" t="s">
        <v>24</v>
      </c>
      <c r="F4" s="5" t="n">
        <v>3</v>
      </c>
      <c r="G4" s="5" t="n">
        <v>4</v>
      </c>
      <c r="H4" s="5" t="n">
        <f aca="false">F4+G4</f>
        <v>7</v>
      </c>
      <c r="I4" s="5" t="n">
        <v>1</v>
      </c>
      <c r="J4" s="6" t="s">
        <v>25</v>
      </c>
      <c r="K4" s="6" t="s">
        <v>20</v>
      </c>
    </row>
    <row r="5" customFormat="false" ht="48" hidden="false" customHeight="true" outlineLevel="0" collapsed="false">
      <c r="A5" s="5" t="n">
        <v>4</v>
      </c>
      <c r="B5" s="6" t="s">
        <v>21</v>
      </c>
      <c r="C5" s="6" t="s">
        <v>26</v>
      </c>
      <c r="D5" s="7" t="s">
        <v>27</v>
      </c>
      <c r="E5" s="7" t="s">
        <v>28</v>
      </c>
      <c r="F5" s="5" t="n">
        <v>5</v>
      </c>
      <c r="G5" s="5" t="n">
        <v>4</v>
      </c>
      <c r="H5" s="5" t="n">
        <f aca="false">F5+G5</f>
        <v>9</v>
      </c>
      <c r="I5" s="5" t="n">
        <v>1</v>
      </c>
      <c r="J5" s="6" t="s">
        <v>25</v>
      </c>
      <c r="K5" s="6" t="s">
        <v>16</v>
      </c>
    </row>
    <row r="6" customFormat="false" ht="48" hidden="false" customHeight="true" outlineLevel="0" collapsed="false">
      <c r="A6" s="5" t="n">
        <v>5</v>
      </c>
      <c r="B6" s="6" t="s">
        <v>21</v>
      </c>
      <c r="C6" s="6" t="s">
        <v>29</v>
      </c>
      <c r="D6" s="7" t="s">
        <v>30</v>
      </c>
      <c r="E6" s="7" t="s">
        <v>31</v>
      </c>
      <c r="F6" s="5" t="n">
        <v>3</v>
      </c>
      <c r="G6" s="5" t="n">
        <v>5</v>
      </c>
      <c r="H6" s="5" t="n">
        <f aca="false">F6+G6</f>
        <v>8</v>
      </c>
      <c r="I6" s="5" t="n">
        <v>1</v>
      </c>
      <c r="J6" s="6" t="s">
        <v>32</v>
      </c>
      <c r="K6" s="6" t="s">
        <v>33</v>
      </c>
    </row>
    <row r="7" customFormat="false" ht="48" hidden="false" customHeight="true" outlineLevel="0" collapsed="false">
      <c r="A7" s="5" t="n">
        <v>6</v>
      </c>
      <c r="B7" s="6" t="s">
        <v>21</v>
      </c>
      <c r="C7" s="6" t="s">
        <v>34</v>
      </c>
      <c r="D7" s="7" t="s">
        <v>35</v>
      </c>
      <c r="E7" s="7" t="s">
        <v>36</v>
      </c>
      <c r="F7" s="5" t="n">
        <v>2</v>
      </c>
      <c r="G7" s="5" t="n">
        <v>4</v>
      </c>
      <c r="H7" s="5" t="n">
        <f aca="false">F7+G7</f>
        <v>6</v>
      </c>
      <c r="I7" s="5" t="n">
        <v>1</v>
      </c>
      <c r="J7" s="6" t="s">
        <v>32</v>
      </c>
      <c r="K7" s="6" t="s">
        <v>33</v>
      </c>
    </row>
    <row r="8" customFormat="false" ht="48" hidden="false" customHeight="true" outlineLevel="0" collapsed="false">
      <c r="A8" s="5" t="n">
        <v>7</v>
      </c>
      <c r="B8" s="6" t="s">
        <v>21</v>
      </c>
      <c r="C8" s="6" t="s">
        <v>37</v>
      </c>
      <c r="D8" s="7" t="s">
        <v>38</v>
      </c>
      <c r="E8" s="7" t="s">
        <v>39</v>
      </c>
      <c r="F8" s="5" t="n">
        <v>4</v>
      </c>
      <c r="G8" s="5" t="n">
        <v>2</v>
      </c>
      <c r="H8" s="5" t="n">
        <f aca="false">F8+G8</f>
        <v>6</v>
      </c>
      <c r="I8" s="5" t="n">
        <v>1</v>
      </c>
      <c r="J8" s="6" t="s">
        <v>25</v>
      </c>
      <c r="K8" s="6" t="s">
        <v>20</v>
      </c>
    </row>
    <row r="9" customFormat="false" ht="48" hidden="false" customHeight="true" outlineLevel="0" collapsed="false">
      <c r="A9" s="5" t="n">
        <v>8</v>
      </c>
      <c r="B9" s="6" t="s">
        <v>21</v>
      </c>
      <c r="C9" s="6" t="s">
        <v>37</v>
      </c>
      <c r="D9" s="7" t="s">
        <v>40</v>
      </c>
      <c r="E9" s="7" t="s">
        <v>41</v>
      </c>
      <c r="F9" s="5" t="n">
        <v>3</v>
      </c>
      <c r="G9" s="5" t="n">
        <v>3</v>
      </c>
      <c r="H9" s="5" t="n">
        <f aca="false">F9+G9</f>
        <v>6</v>
      </c>
      <c r="I9" s="5" t="n">
        <v>1</v>
      </c>
      <c r="J9" s="6" t="s">
        <v>25</v>
      </c>
      <c r="K9" s="6" t="s">
        <v>20</v>
      </c>
    </row>
    <row r="10" customFormat="false" ht="48" hidden="false" customHeight="true" outlineLevel="0" collapsed="false">
      <c r="A10" s="5" t="n">
        <v>9</v>
      </c>
      <c r="B10" s="6" t="s">
        <v>21</v>
      </c>
      <c r="C10" s="6" t="s">
        <v>42</v>
      </c>
      <c r="D10" s="7" t="s">
        <v>43</v>
      </c>
      <c r="E10" s="7" t="s">
        <v>44</v>
      </c>
      <c r="F10" s="5" t="n">
        <v>5</v>
      </c>
      <c r="G10" s="5" t="n">
        <v>4</v>
      </c>
      <c r="H10" s="5" t="n">
        <f aca="false">F10+G10</f>
        <v>9</v>
      </c>
      <c r="I10" s="5" t="n">
        <v>1</v>
      </c>
      <c r="J10" s="6" t="s">
        <v>45</v>
      </c>
      <c r="K10" s="6" t="s">
        <v>16</v>
      </c>
    </row>
    <row r="11" customFormat="false" ht="48" hidden="false" customHeight="true" outlineLevel="0" collapsed="false">
      <c r="A11" s="8" t="n">
        <v>10</v>
      </c>
      <c r="B11" s="9" t="s">
        <v>46</v>
      </c>
      <c r="C11" s="9" t="s">
        <v>47</v>
      </c>
      <c r="D11" s="10" t="s">
        <v>48</v>
      </c>
      <c r="E11" s="10" t="s">
        <v>49</v>
      </c>
      <c r="F11" s="8" t="n">
        <v>4</v>
      </c>
      <c r="G11" s="8" t="n">
        <v>5</v>
      </c>
      <c r="H11" s="8" t="n">
        <f aca="false">F11+G11</f>
        <v>9</v>
      </c>
      <c r="I11" s="8" t="n">
        <v>1</v>
      </c>
      <c r="J11" s="9" t="s">
        <v>25</v>
      </c>
      <c r="K11" s="9" t="s">
        <v>20</v>
      </c>
    </row>
    <row r="12" customFormat="false" ht="48" hidden="false" customHeight="true" outlineLevel="0" collapsed="false">
      <c r="A12" s="8" t="n">
        <v>11</v>
      </c>
      <c r="B12" s="9" t="s">
        <v>46</v>
      </c>
      <c r="C12" s="9" t="s">
        <v>47</v>
      </c>
      <c r="D12" s="10" t="s">
        <v>50</v>
      </c>
      <c r="E12" s="10" t="s">
        <v>51</v>
      </c>
      <c r="F12" s="8" t="n">
        <v>4</v>
      </c>
      <c r="G12" s="8" t="n">
        <v>5</v>
      </c>
      <c r="H12" s="8" t="n">
        <f aca="false">F12+G12</f>
        <v>9</v>
      </c>
      <c r="I12" s="8" t="n">
        <v>1</v>
      </c>
      <c r="J12" s="9" t="s">
        <v>25</v>
      </c>
      <c r="K12" s="9" t="s">
        <v>20</v>
      </c>
    </row>
    <row r="13" customFormat="false" ht="48" hidden="false" customHeight="true" outlineLevel="0" collapsed="false">
      <c r="A13" s="8" t="n">
        <v>12</v>
      </c>
      <c r="B13" s="9" t="s">
        <v>46</v>
      </c>
      <c r="C13" s="9" t="s">
        <v>47</v>
      </c>
      <c r="D13" s="10" t="s">
        <v>52</v>
      </c>
      <c r="E13" s="10" t="s">
        <v>49</v>
      </c>
      <c r="F13" s="8" t="n">
        <v>4</v>
      </c>
      <c r="G13" s="8" t="n">
        <v>4</v>
      </c>
      <c r="H13" s="8" t="n">
        <f aca="false">F13+G13</f>
        <v>8</v>
      </c>
      <c r="I13" s="8" t="n">
        <v>1</v>
      </c>
      <c r="J13" s="9" t="s">
        <v>25</v>
      </c>
      <c r="K13" s="9" t="s">
        <v>20</v>
      </c>
    </row>
    <row r="14" customFormat="false" ht="48" hidden="false" customHeight="true" outlineLevel="0" collapsed="false">
      <c r="A14" s="8" t="n">
        <v>13</v>
      </c>
      <c r="B14" s="9" t="s">
        <v>46</v>
      </c>
      <c r="C14" s="9" t="s">
        <v>47</v>
      </c>
      <c r="D14" s="10" t="s">
        <v>53</v>
      </c>
      <c r="E14" s="10" t="s">
        <v>49</v>
      </c>
      <c r="F14" s="8" t="n">
        <v>4</v>
      </c>
      <c r="G14" s="8" t="n">
        <v>4</v>
      </c>
      <c r="H14" s="8" t="n">
        <f aca="false">F14+G14</f>
        <v>8</v>
      </c>
      <c r="I14" s="8" t="n">
        <v>1</v>
      </c>
      <c r="J14" s="9" t="s">
        <v>25</v>
      </c>
      <c r="K14" s="9" t="s">
        <v>20</v>
      </c>
    </row>
    <row r="15" customFormat="false" ht="48" hidden="false" customHeight="true" outlineLevel="0" collapsed="false">
      <c r="A15" s="8" t="n">
        <v>14</v>
      </c>
      <c r="B15" s="9" t="s">
        <v>46</v>
      </c>
      <c r="C15" s="9" t="s">
        <v>47</v>
      </c>
      <c r="D15" s="10" t="s">
        <v>54</v>
      </c>
      <c r="E15" s="10" t="s">
        <v>49</v>
      </c>
      <c r="F15" s="8" t="n">
        <v>4</v>
      </c>
      <c r="G15" s="8" t="n">
        <v>3</v>
      </c>
      <c r="H15" s="8" t="n">
        <f aca="false">F15+G15</f>
        <v>7</v>
      </c>
      <c r="I15" s="8" t="n">
        <v>1</v>
      </c>
      <c r="J15" s="9" t="s">
        <v>25</v>
      </c>
      <c r="K15" s="9" t="s">
        <v>20</v>
      </c>
    </row>
    <row r="16" customFormat="false" ht="48" hidden="false" customHeight="true" outlineLevel="0" collapsed="false">
      <c r="A16" s="8" t="n">
        <v>15</v>
      </c>
      <c r="B16" s="9" t="s">
        <v>46</v>
      </c>
      <c r="C16" s="9" t="s">
        <v>47</v>
      </c>
      <c r="D16" s="10" t="s">
        <v>55</v>
      </c>
      <c r="E16" s="10" t="s">
        <v>49</v>
      </c>
      <c r="F16" s="8" t="n">
        <v>4</v>
      </c>
      <c r="G16" s="8" t="n">
        <v>3</v>
      </c>
      <c r="H16" s="8" t="n">
        <f aca="false">F16+G16</f>
        <v>7</v>
      </c>
      <c r="I16" s="8" t="n">
        <v>1</v>
      </c>
      <c r="J16" s="9" t="s">
        <v>25</v>
      </c>
      <c r="K16" s="9" t="s">
        <v>20</v>
      </c>
    </row>
    <row r="17" customFormat="false" ht="48" hidden="false" customHeight="true" outlineLevel="0" collapsed="false">
      <c r="A17" s="8" t="n">
        <v>16</v>
      </c>
      <c r="B17" s="9" t="s">
        <v>46</v>
      </c>
      <c r="C17" s="9" t="s">
        <v>47</v>
      </c>
      <c r="D17" s="10" t="s">
        <v>56</v>
      </c>
      <c r="E17" s="10" t="s">
        <v>49</v>
      </c>
      <c r="F17" s="8" t="n">
        <v>4</v>
      </c>
      <c r="G17" s="8" t="n">
        <v>3</v>
      </c>
      <c r="H17" s="8" t="n">
        <f aca="false">F17+G17</f>
        <v>7</v>
      </c>
      <c r="I17" s="8" t="n">
        <v>1</v>
      </c>
      <c r="J17" s="9" t="s">
        <v>25</v>
      </c>
      <c r="K17" s="9" t="s">
        <v>20</v>
      </c>
    </row>
    <row r="18" customFormat="false" ht="48" hidden="false" customHeight="true" outlineLevel="0" collapsed="false">
      <c r="A18" s="8" t="n">
        <v>17</v>
      </c>
      <c r="B18" s="9" t="s">
        <v>46</v>
      </c>
      <c r="C18" s="9" t="s">
        <v>47</v>
      </c>
      <c r="D18" s="10" t="s">
        <v>57</v>
      </c>
      <c r="E18" s="10" t="s">
        <v>58</v>
      </c>
      <c r="F18" s="8" t="n">
        <v>4</v>
      </c>
      <c r="G18" s="8" t="n">
        <v>3</v>
      </c>
      <c r="H18" s="8" t="n">
        <f aca="false">F18+G18</f>
        <v>7</v>
      </c>
      <c r="I18" s="8" t="n">
        <v>1</v>
      </c>
      <c r="J18" s="9" t="s">
        <v>25</v>
      </c>
      <c r="K18" s="9" t="s">
        <v>20</v>
      </c>
    </row>
    <row r="19" customFormat="false" ht="48" hidden="false" customHeight="true" outlineLevel="0" collapsed="false">
      <c r="A19" s="8" t="n">
        <v>18</v>
      </c>
      <c r="B19" s="9" t="s">
        <v>46</v>
      </c>
      <c r="C19" s="9" t="s">
        <v>47</v>
      </c>
      <c r="D19" s="10" t="s">
        <v>59</v>
      </c>
      <c r="E19" s="10" t="s">
        <v>60</v>
      </c>
      <c r="F19" s="8" t="n">
        <v>4</v>
      </c>
      <c r="G19" s="8" t="n">
        <v>2</v>
      </c>
      <c r="H19" s="8" t="n">
        <f aca="false">F19+G19</f>
        <v>6</v>
      </c>
      <c r="I19" s="8" t="n">
        <v>1</v>
      </c>
      <c r="J19" s="9" t="s">
        <v>25</v>
      </c>
      <c r="K19" s="9" t="s">
        <v>20</v>
      </c>
    </row>
    <row r="20" customFormat="false" ht="48" hidden="false" customHeight="true" outlineLevel="0" collapsed="false">
      <c r="A20" s="8" t="n">
        <v>19</v>
      </c>
      <c r="B20" s="9" t="s">
        <v>46</v>
      </c>
      <c r="C20" s="9" t="s">
        <v>47</v>
      </c>
      <c r="D20" s="10" t="s">
        <v>61</v>
      </c>
      <c r="E20" s="10" t="s">
        <v>49</v>
      </c>
      <c r="F20" s="8" t="n">
        <v>4</v>
      </c>
      <c r="G20" s="8" t="n">
        <v>2</v>
      </c>
      <c r="H20" s="8" t="n">
        <f aca="false">F20+G20</f>
        <v>6</v>
      </c>
      <c r="I20" s="8" t="n">
        <v>1</v>
      </c>
      <c r="J20" s="9" t="s">
        <v>25</v>
      </c>
      <c r="K20" s="9" t="s">
        <v>20</v>
      </c>
    </row>
    <row r="21" customFormat="false" ht="48" hidden="false" customHeight="true" outlineLevel="0" collapsed="false">
      <c r="A21" s="8" t="n">
        <v>20</v>
      </c>
      <c r="B21" s="9" t="s">
        <v>46</v>
      </c>
      <c r="C21" s="9" t="s">
        <v>47</v>
      </c>
      <c r="D21" s="10" t="s">
        <v>62</v>
      </c>
      <c r="E21" s="10" t="s">
        <v>63</v>
      </c>
      <c r="F21" s="8" t="n">
        <v>4</v>
      </c>
      <c r="G21" s="8" t="n">
        <v>2</v>
      </c>
      <c r="H21" s="8" t="n">
        <f aca="false">F21+G21</f>
        <v>6</v>
      </c>
      <c r="I21" s="8" t="n">
        <v>1</v>
      </c>
      <c r="J21" s="9" t="s">
        <v>25</v>
      </c>
      <c r="K21" s="9" t="s">
        <v>20</v>
      </c>
    </row>
    <row r="22" customFormat="false" ht="48" hidden="false" customHeight="true" outlineLevel="0" collapsed="false">
      <c r="A22" s="11" t="n">
        <v>21</v>
      </c>
      <c r="B22" s="12" t="s">
        <v>64</v>
      </c>
      <c r="C22" s="12" t="s">
        <v>65</v>
      </c>
      <c r="D22" s="13" t="s">
        <v>66</v>
      </c>
      <c r="E22" s="13" t="s">
        <v>67</v>
      </c>
      <c r="F22" s="11" t="n">
        <v>3</v>
      </c>
      <c r="G22" s="11" t="n">
        <v>5</v>
      </c>
      <c r="H22" s="11" t="n">
        <f aca="false">F22+G22</f>
        <v>8</v>
      </c>
      <c r="I22" s="11" t="n">
        <v>3</v>
      </c>
      <c r="J22" s="12" t="s">
        <v>15</v>
      </c>
      <c r="K22" s="12" t="s">
        <v>16</v>
      </c>
    </row>
    <row r="23" customFormat="false" ht="48" hidden="false" customHeight="true" outlineLevel="0" collapsed="false">
      <c r="A23" s="11" t="n">
        <v>22</v>
      </c>
      <c r="B23" s="12" t="s">
        <v>64</v>
      </c>
      <c r="C23" s="12" t="s">
        <v>65</v>
      </c>
      <c r="D23" s="13" t="s">
        <v>68</v>
      </c>
      <c r="E23" s="13" t="s">
        <v>69</v>
      </c>
      <c r="F23" s="11" t="n">
        <v>4</v>
      </c>
      <c r="G23" s="11" t="n">
        <v>4</v>
      </c>
      <c r="H23" s="11" t="n">
        <f aca="false">F23+G23</f>
        <v>8</v>
      </c>
      <c r="I23" s="11" t="n">
        <v>4</v>
      </c>
      <c r="J23" s="12" t="s">
        <v>70</v>
      </c>
      <c r="K23" s="12" t="s">
        <v>16</v>
      </c>
    </row>
    <row r="24" customFormat="false" ht="48" hidden="false" customHeight="true" outlineLevel="0" collapsed="false">
      <c r="A24" s="11" t="n">
        <v>23</v>
      </c>
      <c r="B24" s="12" t="s">
        <v>64</v>
      </c>
      <c r="C24" s="12" t="s">
        <v>71</v>
      </c>
      <c r="D24" s="13" t="s">
        <v>72</v>
      </c>
      <c r="E24" s="13" t="s">
        <v>73</v>
      </c>
      <c r="F24" s="11" t="n">
        <v>2</v>
      </c>
      <c r="G24" s="11" t="n">
        <v>4</v>
      </c>
      <c r="H24" s="11" t="n">
        <f aca="false">F24+G24</f>
        <v>6</v>
      </c>
      <c r="I24" s="11" t="n">
        <v>3</v>
      </c>
      <c r="J24" s="12" t="s">
        <v>15</v>
      </c>
      <c r="K24" s="12" t="s">
        <v>16</v>
      </c>
    </row>
    <row r="25" customFormat="false" ht="48" hidden="false" customHeight="true" outlineLevel="0" collapsed="false">
      <c r="A25" s="11" t="n">
        <v>24</v>
      </c>
      <c r="B25" s="12" t="s">
        <v>64</v>
      </c>
      <c r="C25" s="12" t="s">
        <v>74</v>
      </c>
      <c r="D25" s="13" t="s">
        <v>75</v>
      </c>
      <c r="E25" s="13" t="s">
        <v>76</v>
      </c>
      <c r="F25" s="11" t="n">
        <v>3</v>
      </c>
      <c r="G25" s="11" t="n">
        <v>5</v>
      </c>
      <c r="H25" s="11" t="n">
        <f aca="false">F25+G25</f>
        <v>8</v>
      </c>
      <c r="I25" s="11" t="n">
        <v>1</v>
      </c>
      <c r="J25" s="12" t="s">
        <v>32</v>
      </c>
      <c r="K25" s="12" t="s">
        <v>16</v>
      </c>
    </row>
    <row r="26" customFormat="false" ht="48" hidden="false" customHeight="true" outlineLevel="0" collapsed="false">
      <c r="A26" s="11" t="n">
        <v>25</v>
      </c>
      <c r="B26" s="12" t="s">
        <v>64</v>
      </c>
      <c r="C26" s="12" t="s">
        <v>71</v>
      </c>
      <c r="D26" s="13" t="s">
        <v>77</v>
      </c>
      <c r="E26" s="13" t="s">
        <v>78</v>
      </c>
      <c r="F26" s="11" t="n">
        <v>4</v>
      </c>
      <c r="G26" s="11" t="n">
        <v>5</v>
      </c>
      <c r="H26" s="11" t="n">
        <f aca="false">F26+G26</f>
        <v>9</v>
      </c>
      <c r="I26" s="11" t="n">
        <v>3</v>
      </c>
      <c r="J26" s="12" t="s">
        <v>15</v>
      </c>
      <c r="K26" s="12" t="s">
        <v>16</v>
      </c>
    </row>
    <row r="27" customFormat="false" ht="48" hidden="false" customHeight="true" outlineLevel="0" collapsed="false">
      <c r="A27" s="11" t="n">
        <v>26</v>
      </c>
      <c r="B27" s="12" t="s">
        <v>64</v>
      </c>
      <c r="C27" s="12" t="s">
        <v>79</v>
      </c>
      <c r="D27" s="13" t="s">
        <v>80</v>
      </c>
      <c r="E27" s="13" t="s">
        <v>81</v>
      </c>
      <c r="F27" s="11" t="n">
        <v>2</v>
      </c>
      <c r="G27" s="11" t="n">
        <v>4</v>
      </c>
      <c r="H27" s="11" t="n">
        <f aca="false">F27+G27</f>
        <v>6</v>
      </c>
      <c r="I27" s="11" t="n">
        <v>5</v>
      </c>
      <c r="J27" s="12" t="s">
        <v>82</v>
      </c>
      <c r="K27" s="12" t="s">
        <v>16</v>
      </c>
    </row>
    <row r="28" customFormat="false" ht="48" hidden="false" customHeight="true" outlineLevel="0" collapsed="false">
      <c r="A28" s="11" t="n">
        <v>27</v>
      </c>
      <c r="B28" s="12" t="s">
        <v>64</v>
      </c>
      <c r="C28" s="12" t="s">
        <v>83</v>
      </c>
      <c r="D28" s="13" t="s">
        <v>84</v>
      </c>
      <c r="E28" s="13" t="s">
        <v>85</v>
      </c>
      <c r="F28" s="11" t="n">
        <v>4</v>
      </c>
      <c r="G28" s="11" t="n">
        <v>5</v>
      </c>
      <c r="H28" s="11" t="n">
        <f aca="false">F28+G28</f>
        <v>9</v>
      </c>
      <c r="I28" s="11" t="n">
        <v>5</v>
      </c>
      <c r="J28" s="12" t="s">
        <v>82</v>
      </c>
      <c r="K28" s="12" t="s">
        <v>16</v>
      </c>
    </row>
    <row r="29" customFormat="false" ht="48" hidden="false" customHeight="true" outlineLevel="0" collapsed="false">
      <c r="A29" s="11" t="n">
        <v>28</v>
      </c>
      <c r="B29" s="12" t="s">
        <v>64</v>
      </c>
      <c r="C29" s="12" t="s">
        <v>86</v>
      </c>
      <c r="D29" s="13" t="s">
        <v>87</v>
      </c>
      <c r="E29" s="13" t="s">
        <v>88</v>
      </c>
      <c r="F29" s="11" t="n">
        <v>2</v>
      </c>
      <c r="G29" s="11" t="n">
        <v>4</v>
      </c>
      <c r="H29" s="11" t="n">
        <f aca="false">F29+G29</f>
        <v>6</v>
      </c>
      <c r="I29" s="11" t="n">
        <v>3</v>
      </c>
      <c r="J29" s="12" t="s">
        <v>15</v>
      </c>
      <c r="K29" s="12" t="s">
        <v>16</v>
      </c>
    </row>
    <row r="30" customFormat="false" ht="48" hidden="false" customHeight="true" outlineLevel="0" collapsed="false">
      <c r="A30" s="11" t="n">
        <v>29</v>
      </c>
      <c r="B30" s="12" t="s">
        <v>64</v>
      </c>
      <c r="C30" s="12" t="s">
        <v>89</v>
      </c>
      <c r="D30" s="13" t="s">
        <v>90</v>
      </c>
      <c r="E30" s="13" t="s">
        <v>91</v>
      </c>
      <c r="F30" s="11" t="n">
        <v>3</v>
      </c>
      <c r="G30" s="11" t="n">
        <v>5</v>
      </c>
      <c r="H30" s="11" t="n">
        <f aca="false">F30+G30</f>
        <v>8</v>
      </c>
      <c r="I30" s="11" t="n">
        <v>3</v>
      </c>
      <c r="J30" s="12" t="s">
        <v>15</v>
      </c>
      <c r="K30" s="12" t="s">
        <v>16</v>
      </c>
    </row>
    <row r="31" customFormat="false" ht="48" hidden="false" customHeight="true" outlineLevel="0" collapsed="false">
      <c r="A31" s="14" t="n">
        <v>30</v>
      </c>
      <c r="B31" s="15" t="s">
        <v>92</v>
      </c>
      <c r="C31" s="15" t="s">
        <v>93</v>
      </c>
      <c r="D31" s="16" t="s">
        <v>94</v>
      </c>
      <c r="E31" s="16" t="s">
        <v>95</v>
      </c>
      <c r="F31" s="14" t="n">
        <v>5</v>
      </c>
      <c r="G31" s="14" t="n">
        <v>3</v>
      </c>
      <c r="H31" s="14" t="n">
        <f aca="false">F31+G31</f>
        <v>8</v>
      </c>
      <c r="I31" s="14" t="n">
        <v>1</v>
      </c>
      <c r="J31" s="15" t="s">
        <v>25</v>
      </c>
      <c r="K31" s="15" t="s">
        <v>20</v>
      </c>
    </row>
    <row r="32" customFormat="false" ht="48" hidden="false" customHeight="true" outlineLevel="0" collapsed="false">
      <c r="A32" s="14" t="n">
        <v>31</v>
      </c>
      <c r="B32" s="15" t="s">
        <v>92</v>
      </c>
      <c r="C32" s="15" t="s">
        <v>96</v>
      </c>
      <c r="D32" s="16" t="s">
        <v>97</v>
      </c>
      <c r="E32" s="16" t="s">
        <v>98</v>
      </c>
      <c r="F32" s="14" t="n">
        <v>5</v>
      </c>
      <c r="G32" s="14" t="n">
        <v>4</v>
      </c>
      <c r="H32" s="14" t="n">
        <f aca="false">F32+G32</f>
        <v>9</v>
      </c>
      <c r="I32" s="14" t="n">
        <v>1</v>
      </c>
      <c r="J32" s="15" t="s">
        <v>99</v>
      </c>
      <c r="K32" s="15" t="s">
        <v>16</v>
      </c>
    </row>
    <row r="33" customFormat="false" ht="48" hidden="false" customHeight="true" outlineLevel="0" collapsed="false">
      <c r="A33" s="14" t="n">
        <v>32</v>
      </c>
      <c r="B33" s="15" t="s">
        <v>92</v>
      </c>
      <c r="C33" s="15" t="s">
        <v>100</v>
      </c>
      <c r="D33" s="16" t="s">
        <v>101</v>
      </c>
      <c r="E33" s="16" t="s">
        <v>102</v>
      </c>
      <c r="F33" s="14" t="n">
        <v>5</v>
      </c>
      <c r="G33" s="14" t="n">
        <v>2</v>
      </c>
      <c r="H33" s="14" t="n">
        <f aca="false">F33+G33</f>
        <v>7</v>
      </c>
      <c r="I33" s="14" t="n">
        <v>1</v>
      </c>
      <c r="J33" s="15" t="s">
        <v>25</v>
      </c>
      <c r="K33" s="15" t="s">
        <v>20</v>
      </c>
    </row>
    <row r="34" customFormat="false" ht="48" hidden="false" customHeight="true" outlineLevel="0" collapsed="false">
      <c r="A34" s="14" t="n">
        <v>33</v>
      </c>
      <c r="B34" s="15" t="s">
        <v>92</v>
      </c>
      <c r="C34" s="15" t="s">
        <v>103</v>
      </c>
      <c r="D34" s="16" t="s">
        <v>104</v>
      </c>
      <c r="E34" s="16" t="s">
        <v>105</v>
      </c>
      <c r="F34" s="14" t="n">
        <v>5</v>
      </c>
      <c r="G34" s="14" t="n">
        <v>3</v>
      </c>
      <c r="H34" s="14" t="n">
        <f aca="false">F34+G34</f>
        <v>8</v>
      </c>
      <c r="I34" s="14" t="n">
        <v>2</v>
      </c>
      <c r="J34" s="15" t="s">
        <v>106</v>
      </c>
      <c r="K34" s="15" t="s">
        <v>20</v>
      </c>
    </row>
    <row r="35" customFormat="false" ht="48" hidden="false" customHeight="true" outlineLevel="0" collapsed="false">
      <c r="A35" s="14" t="n">
        <v>34</v>
      </c>
      <c r="B35" s="15" t="s">
        <v>92</v>
      </c>
      <c r="C35" s="15" t="s">
        <v>107</v>
      </c>
      <c r="D35" s="16" t="s">
        <v>108</v>
      </c>
      <c r="E35" s="16" t="s">
        <v>109</v>
      </c>
      <c r="F35" s="14" t="n">
        <v>5</v>
      </c>
      <c r="G35" s="14" t="n">
        <v>3</v>
      </c>
      <c r="H35" s="14" t="n">
        <f aca="false">F35+G35</f>
        <v>8</v>
      </c>
      <c r="I35" s="14" t="n">
        <v>3</v>
      </c>
      <c r="J35" s="15" t="s">
        <v>110</v>
      </c>
      <c r="K35" s="15" t="s">
        <v>16</v>
      </c>
    </row>
    <row r="36" customFormat="false" ht="48" hidden="false" customHeight="true" outlineLevel="0" collapsed="false">
      <c r="A36" s="17" t="n">
        <v>35</v>
      </c>
      <c r="B36" s="18" t="s">
        <v>111</v>
      </c>
      <c r="C36" s="18" t="s">
        <v>112</v>
      </c>
      <c r="D36" s="19" t="s">
        <v>113</v>
      </c>
      <c r="E36" s="19" t="s">
        <v>114</v>
      </c>
      <c r="F36" s="17" t="n">
        <v>4</v>
      </c>
      <c r="G36" s="17" t="n">
        <v>3</v>
      </c>
      <c r="H36" s="17" t="n">
        <f aca="false">F36+G36</f>
        <v>7</v>
      </c>
      <c r="I36" s="17" t="n">
        <v>1</v>
      </c>
      <c r="J36" s="18" t="s">
        <v>115</v>
      </c>
      <c r="K36" s="18" t="s">
        <v>16</v>
      </c>
    </row>
    <row r="37" customFormat="false" ht="48" hidden="false" customHeight="true" outlineLevel="0" collapsed="false">
      <c r="A37" s="17" t="n">
        <v>36</v>
      </c>
      <c r="B37" s="18" t="s">
        <v>111</v>
      </c>
      <c r="C37" s="18" t="s">
        <v>112</v>
      </c>
      <c r="D37" s="19" t="s">
        <v>116</v>
      </c>
      <c r="E37" s="19" t="s">
        <v>114</v>
      </c>
      <c r="F37" s="17" t="n">
        <v>4</v>
      </c>
      <c r="G37" s="17" t="n">
        <v>3</v>
      </c>
      <c r="H37" s="17" t="n">
        <f aca="false">F37+G37</f>
        <v>7</v>
      </c>
      <c r="I37" s="17" t="n">
        <v>1</v>
      </c>
      <c r="J37" s="18" t="s">
        <v>115</v>
      </c>
      <c r="K37" s="18" t="s">
        <v>16</v>
      </c>
    </row>
    <row r="38" customFormat="false" ht="48" hidden="false" customHeight="true" outlineLevel="0" collapsed="false">
      <c r="A38" s="17" t="n">
        <v>37</v>
      </c>
      <c r="B38" s="18" t="s">
        <v>111</v>
      </c>
      <c r="C38" s="18" t="s">
        <v>112</v>
      </c>
      <c r="D38" s="19" t="s">
        <v>117</v>
      </c>
      <c r="E38" s="19" t="s">
        <v>114</v>
      </c>
      <c r="F38" s="17" t="n">
        <v>4</v>
      </c>
      <c r="G38" s="17" t="n">
        <v>3</v>
      </c>
      <c r="H38" s="17" t="n">
        <f aca="false">F38+G38</f>
        <v>7</v>
      </c>
      <c r="I38" s="17" t="n">
        <v>1</v>
      </c>
      <c r="J38" s="18" t="s">
        <v>115</v>
      </c>
      <c r="K38" s="18" t="s">
        <v>16</v>
      </c>
    </row>
    <row r="39" customFormat="false" ht="48" hidden="false" customHeight="true" outlineLevel="0" collapsed="false">
      <c r="A39" s="17" t="n">
        <v>38</v>
      </c>
      <c r="B39" s="18" t="s">
        <v>111</v>
      </c>
      <c r="C39" s="18" t="s">
        <v>118</v>
      </c>
      <c r="D39" s="19" t="s">
        <v>119</v>
      </c>
      <c r="E39" s="19" t="s">
        <v>120</v>
      </c>
      <c r="F39" s="17" t="n">
        <v>4</v>
      </c>
      <c r="G39" s="17" t="n">
        <v>3</v>
      </c>
      <c r="H39" s="17" t="n">
        <f aca="false">F39+G39</f>
        <v>7</v>
      </c>
      <c r="I39" s="17" t="n">
        <v>1</v>
      </c>
      <c r="J39" s="18" t="s">
        <v>121</v>
      </c>
      <c r="K39" s="18" t="s">
        <v>16</v>
      </c>
    </row>
    <row r="40" customFormat="false" ht="48" hidden="false" customHeight="true" outlineLevel="0" collapsed="false">
      <c r="A40" s="17" t="n">
        <v>39</v>
      </c>
      <c r="B40" s="18" t="s">
        <v>111</v>
      </c>
      <c r="C40" s="18" t="s">
        <v>122</v>
      </c>
      <c r="D40" s="19" t="s">
        <v>123</v>
      </c>
      <c r="E40" s="19" t="s">
        <v>124</v>
      </c>
      <c r="F40" s="17" t="n">
        <v>3</v>
      </c>
      <c r="G40" s="17" t="n">
        <v>4</v>
      </c>
      <c r="H40" s="17" t="n">
        <f aca="false">F40+G40</f>
        <v>7</v>
      </c>
      <c r="I40" s="17" t="n">
        <v>1</v>
      </c>
      <c r="J40" s="18" t="s">
        <v>25</v>
      </c>
      <c r="K40" s="18" t="s">
        <v>16</v>
      </c>
    </row>
    <row r="41" customFormat="false" ht="48" hidden="false" customHeight="true" outlineLevel="0" collapsed="false">
      <c r="A41" s="17" t="n">
        <v>40</v>
      </c>
      <c r="B41" s="18" t="s">
        <v>111</v>
      </c>
      <c r="C41" s="18" t="s">
        <v>125</v>
      </c>
      <c r="D41" s="19" t="s">
        <v>126</v>
      </c>
      <c r="E41" s="19" t="s">
        <v>127</v>
      </c>
      <c r="F41" s="17" t="n">
        <v>4</v>
      </c>
      <c r="G41" s="17" t="n">
        <v>4</v>
      </c>
      <c r="H41" s="17" t="n">
        <f aca="false">F41+G41</f>
        <v>8</v>
      </c>
      <c r="I41" s="17" t="n">
        <v>2</v>
      </c>
      <c r="J41" s="18" t="s">
        <v>106</v>
      </c>
      <c r="K41" s="18" t="s">
        <v>16</v>
      </c>
    </row>
    <row r="42" customFormat="false" ht="48" hidden="false" customHeight="true" outlineLevel="0" collapsed="false">
      <c r="A42" s="17" t="n">
        <v>41</v>
      </c>
      <c r="B42" s="18" t="s">
        <v>111</v>
      </c>
      <c r="C42" s="18" t="s">
        <v>128</v>
      </c>
      <c r="D42" s="19" t="s">
        <v>129</v>
      </c>
      <c r="E42" s="19" t="s">
        <v>130</v>
      </c>
      <c r="F42" s="17" t="n">
        <v>4</v>
      </c>
      <c r="G42" s="17" t="n">
        <v>5</v>
      </c>
      <c r="H42" s="17" t="n">
        <f aca="false">F42+G42</f>
        <v>9</v>
      </c>
      <c r="I42" s="17" t="n">
        <v>1</v>
      </c>
      <c r="J42" s="18" t="s">
        <v>25</v>
      </c>
      <c r="K42" s="18" t="s">
        <v>16</v>
      </c>
    </row>
    <row r="43" customFormat="false" ht="48" hidden="false" customHeight="true" outlineLevel="0" collapsed="false">
      <c r="A43" s="17" t="n">
        <v>42</v>
      </c>
      <c r="B43" s="18" t="s">
        <v>111</v>
      </c>
      <c r="C43" s="18" t="s">
        <v>131</v>
      </c>
      <c r="D43" s="19" t="s">
        <v>132</v>
      </c>
      <c r="E43" s="19" t="s">
        <v>133</v>
      </c>
      <c r="F43" s="17" t="n">
        <v>4</v>
      </c>
      <c r="G43" s="17" t="n">
        <v>5</v>
      </c>
      <c r="H43" s="17" t="n">
        <f aca="false">F43+G43</f>
        <v>9</v>
      </c>
      <c r="I43" s="17" t="n">
        <v>2</v>
      </c>
      <c r="J43" s="18" t="s">
        <v>134</v>
      </c>
      <c r="K43" s="18" t="s">
        <v>16</v>
      </c>
    </row>
    <row r="44" customFormat="false" ht="48" hidden="false" customHeight="true" outlineLevel="0" collapsed="false">
      <c r="A44" s="17" t="n">
        <v>43</v>
      </c>
      <c r="B44" s="18" t="s">
        <v>111</v>
      </c>
      <c r="C44" s="18" t="s">
        <v>135</v>
      </c>
      <c r="D44" s="19" t="s">
        <v>136</v>
      </c>
      <c r="E44" s="19" t="s">
        <v>137</v>
      </c>
      <c r="F44" s="17" t="n">
        <v>4</v>
      </c>
      <c r="G44" s="17" t="n">
        <v>4</v>
      </c>
      <c r="H44" s="17" t="n">
        <f aca="false">F44+G44</f>
        <v>8</v>
      </c>
      <c r="I44" s="17" t="n">
        <v>4</v>
      </c>
      <c r="J44" s="18" t="s">
        <v>70</v>
      </c>
      <c r="K44" s="18" t="s">
        <v>16</v>
      </c>
    </row>
    <row r="45" customFormat="false" ht="48" hidden="false" customHeight="true" outlineLevel="0" collapsed="false">
      <c r="A45" s="17" t="n">
        <v>44</v>
      </c>
      <c r="B45" s="18" t="s">
        <v>111</v>
      </c>
      <c r="C45" s="18" t="s">
        <v>131</v>
      </c>
      <c r="D45" s="19" t="s">
        <v>138</v>
      </c>
      <c r="E45" s="19" t="s">
        <v>139</v>
      </c>
      <c r="F45" s="17" t="n">
        <v>4</v>
      </c>
      <c r="G45" s="17" t="n">
        <v>4</v>
      </c>
      <c r="H45" s="17" t="n">
        <f aca="false">F45+G45</f>
        <v>8</v>
      </c>
      <c r="I45" s="17" t="n">
        <v>2</v>
      </c>
      <c r="J45" s="18" t="s">
        <v>134</v>
      </c>
      <c r="K45" s="18" t="s">
        <v>16</v>
      </c>
    </row>
  </sheetData>
  <autoFilter ref="A1:K45"/>
  <conditionalFormatting sqref="H2:H45">
    <cfRule type="colorScale" priority="2">
      <colorScale>
        <cfvo type="num" val="4"/>
        <cfvo type="num" val="7"/>
        <cfvo type="num" val="10"/>
        <color rgb="FFF8696B"/>
        <color rgb="FFFFEB84"/>
        <color rgb="FF63BE7B"/>
      </colorScale>
    </cfRule>
  </conditionalFormatting>
  <conditionalFormatting sqref="I2:I45">
    <cfRule type="colorScale" priority="3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20" t="s">
        <v>140</v>
      </c>
      <c r="B1" s="20"/>
      <c r="C1" s="20"/>
      <c r="D1" s="20"/>
      <c r="E1" s="20"/>
    </row>
    <row r="3" customFormat="false" ht="15" hidden="false" customHeight="false" outlineLevel="0" collapsed="false">
      <c r="A3" s="21" t="s">
        <v>141</v>
      </c>
      <c r="B3" s="21"/>
    </row>
    <row r="4" customFormat="false" ht="15" hidden="false" customHeight="false" outlineLevel="0" collapsed="false">
      <c r="A4" s="22" t="s">
        <v>142</v>
      </c>
      <c r="B4" s="23" t="n">
        <f aca="false">COUNTA('Video Ideas'!A2:A45)</f>
        <v>44</v>
      </c>
    </row>
    <row r="5" customFormat="false" ht="15" hidden="false" customHeight="false" outlineLevel="0" collapsed="false">
      <c r="A5" s="22" t="s">
        <v>143</v>
      </c>
      <c r="B5" s="23" t="n">
        <f aca="false">ROUND(AVERAGE('Video Ideas'!H2:H45),1)</f>
        <v>7.5</v>
      </c>
    </row>
    <row r="6" customFormat="false" ht="15" hidden="false" customHeight="false" outlineLevel="0" collapsed="false">
      <c r="A6" s="22" t="s">
        <v>144</v>
      </c>
      <c r="B6" s="23" t="n">
        <f aca="false">COUNTIF('Video Ideas'!J2:J45,"Ready (0 min)")</f>
        <v>3</v>
      </c>
    </row>
    <row r="7" customFormat="false" ht="15" hidden="false" customHeight="false" outlineLevel="0" collapsed="false">
      <c r="A7" s="22" t="s">
        <v>145</v>
      </c>
      <c r="B7" s="23" t="n">
        <f aca="false">COUNTIF('Video Ideas'!K2:K45,"Yes")</f>
        <v>24</v>
      </c>
    </row>
    <row r="8" customFormat="false" ht="15" hidden="false" customHeight="false" outlineLevel="0" collapsed="false">
      <c r="A8" s="22" t="s">
        <v>146</v>
      </c>
      <c r="B8" s="23" t="n">
        <f aca="false">COUNTIFS('Video Ideas'!H2:H45,"&gt;=8",'Video Ideas'!I2:I45,"&lt;=2")</f>
        <v>15</v>
      </c>
    </row>
    <row r="10" customFormat="false" ht="15" hidden="false" customHeight="false" outlineLevel="0" collapsed="false">
      <c r="A10" s="21" t="s">
        <v>147</v>
      </c>
      <c r="B10" s="21"/>
      <c r="C10" s="21"/>
      <c r="D10" s="21"/>
    </row>
    <row r="11" customFormat="false" ht="15" hidden="false" customHeight="false" outlineLevel="0" collapsed="false">
      <c r="A11" s="23" t="s">
        <v>1</v>
      </c>
      <c r="B11" s="23" t="s">
        <v>148</v>
      </c>
      <c r="C11" s="23" t="s">
        <v>149</v>
      </c>
      <c r="D11" s="23" t="s">
        <v>150</v>
      </c>
    </row>
    <row r="12" customFormat="false" ht="15" hidden="false" customHeight="false" outlineLevel="0" collapsed="false">
      <c r="A12" s="24" t="s">
        <v>11</v>
      </c>
      <c r="B12" s="25" t="n">
        <f aca="false">COUNTIF('Video Ideas'!B2:B45,A12)</f>
        <v>2</v>
      </c>
      <c r="C12" s="25" t="n">
        <f aca="false">ROUND(AVERAGEIF('Video Ideas'!B2:B45,A12,'Video Ideas'!H2:H45),1)</f>
        <v>7.5</v>
      </c>
      <c r="D12" s="25" t="n">
        <f aca="false">ROUND(AVERAGEIF('Video Ideas'!B2:B45,A12,'Video Ideas'!I2:I45),1)</f>
        <v>3</v>
      </c>
    </row>
    <row r="13" customFormat="false" ht="15" hidden="false" customHeight="false" outlineLevel="0" collapsed="false">
      <c r="A13" s="26" t="s">
        <v>21</v>
      </c>
      <c r="B13" s="27" t="n">
        <f aca="false">COUNTIF('Video Ideas'!B2:B45,A13)</f>
        <v>7</v>
      </c>
      <c r="C13" s="27" t="n">
        <f aca="false">ROUND(AVERAGEIF('Video Ideas'!B2:B45,A13,'Video Ideas'!H2:H45),1)</f>
        <v>7.3</v>
      </c>
      <c r="D13" s="27" t="n">
        <f aca="false">ROUND(AVERAGEIF('Video Ideas'!B2:B45,A13,'Video Ideas'!I2:I45),1)</f>
        <v>1</v>
      </c>
    </row>
    <row r="14" customFormat="false" ht="15" hidden="false" customHeight="false" outlineLevel="0" collapsed="false">
      <c r="A14" s="28" t="s">
        <v>46</v>
      </c>
      <c r="B14" s="29" t="n">
        <f aca="false">COUNTIF('Video Ideas'!B2:B45,A14)</f>
        <v>11</v>
      </c>
      <c r="C14" s="29" t="n">
        <f aca="false">ROUND(AVERAGEIF('Video Ideas'!B2:B45,A14,'Video Ideas'!H2:H45),1)</f>
        <v>7.3</v>
      </c>
      <c r="D14" s="29" t="n">
        <f aca="false">ROUND(AVERAGEIF('Video Ideas'!B2:B45,A14,'Video Ideas'!I2:I45),1)</f>
        <v>1</v>
      </c>
    </row>
    <row r="15" customFormat="false" ht="15" hidden="false" customHeight="false" outlineLevel="0" collapsed="false">
      <c r="A15" s="30" t="s">
        <v>64</v>
      </c>
      <c r="B15" s="31" t="n">
        <f aca="false">COUNTIF('Video Ideas'!B2:B45,A15)</f>
        <v>9</v>
      </c>
      <c r="C15" s="31" t="n">
        <f aca="false">ROUND(AVERAGEIF('Video Ideas'!B2:B45,A15,'Video Ideas'!H2:H45),1)</f>
        <v>7.6</v>
      </c>
      <c r="D15" s="31" t="n">
        <f aca="false">ROUND(AVERAGEIF('Video Ideas'!B2:B45,A15,'Video Ideas'!I2:I45),1)</f>
        <v>3.3</v>
      </c>
    </row>
    <row r="16" customFormat="false" ht="15" hidden="false" customHeight="false" outlineLevel="0" collapsed="false">
      <c r="A16" s="32" t="s">
        <v>92</v>
      </c>
      <c r="B16" s="33" t="n">
        <f aca="false">COUNTIF('Video Ideas'!B2:B45,A16)</f>
        <v>5</v>
      </c>
      <c r="C16" s="33" t="n">
        <f aca="false">ROUND(AVERAGEIF('Video Ideas'!B2:B45,A16,'Video Ideas'!H2:H45),1)</f>
        <v>8</v>
      </c>
      <c r="D16" s="33" t="n">
        <f aca="false">ROUND(AVERAGEIF('Video Ideas'!B2:B45,A16,'Video Ideas'!I2:I45),1)</f>
        <v>1.6</v>
      </c>
    </row>
    <row r="17" customFormat="false" ht="15" hidden="false" customHeight="false" outlineLevel="0" collapsed="false">
      <c r="A17" s="34" t="s">
        <v>111</v>
      </c>
      <c r="B17" s="35" t="n">
        <f aca="false">COUNTIF('Video Ideas'!B2:B45,A17)</f>
        <v>10</v>
      </c>
      <c r="C17" s="35" t="n">
        <f aca="false">ROUND(AVERAGEIF('Video Ideas'!B2:B45,A17,'Video Ideas'!H2:H45),1)</f>
        <v>7.7</v>
      </c>
      <c r="D17" s="35" t="n">
        <f aca="false">ROUND(AVERAGEIF('Video Ideas'!B2:B45,A17,'Video Ideas'!I2:I45),1)</f>
        <v>1.6</v>
      </c>
    </row>
    <row r="20" customFormat="false" ht="15" hidden="false" customHeight="false" outlineLevel="0" collapsed="false">
      <c r="A20" s="21" t="s">
        <v>151</v>
      </c>
      <c r="B20" s="21"/>
      <c r="C20" s="21"/>
      <c r="D20" s="21"/>
      <c r="E20" s="21"/>
    </row>
    <row r="21" customFormat="false" ht="15" hidden="false" customHeight="false" outlineLevel="0" collapsed="false">
      <c r="A21" s="36" t="s">
        <v>3</v>
      </c>
      <c r="B21" s="36" t="s">
        <v>1</v>
      </c>
      <c r="C21" s="36" t="s">
        <v>152</v>
      </c>
      <c r="D21" s="36" t="s">
        <v>153</v>
      </c>
      <c r="E21" s="36" t="s">
        <v>154</v>
      </c>
    </row>
    <row r="22" customFormat="false" ht="15" hidden="false" customHeight="false" outlineLevel="0" collapsed="false">
      <c r="A22" s="37" t="str">
        <f aca="false">'Video Ideas'!D4</f>
        <v>Chant videos for players</v>
      </c>
      <c r="B22" s="38" t="str">
        <f aca="false">'Video Ideas'!B4</f>
        <v>Collection Journey</v>
      </c>
      <c r="C22" s="38" t="n">
        <f aca="false">'Video Ideas'!H4</f>
        <v>7</v>
      </c>
      <c r="D22" s="38" t="n">
        <f aca="false">'Video Ideas'!I4</f>
        <v>1</v>
      </c>
      <c r="E22" s="38" t="str">
        <f aca="false">'Video Ideas'!K4</f>
        <v>Optional</v>
      </c>
    </row>
    <row r="23" customFormat="false" ht="15" hidden="false" customHeight="false" outlineLevel="0" collapsed="false">
      <c r="A23" s="37" t="str">
        <f aca="false">'Video Ideas'!D5</f>
        <v>"My last 11 stickers"</v>
      </c>
      <c r="B23" s="38" t="str">
        <f aca="false">'Video Ideas'!B5</f>
        <v>Collection Journey</v>
      </c>
      <c r="C23" s="38" t="n">
        <f aca="false">'Video Ideas'!H5</f>
        <v>9</v>
      </c>
      <c r="D23" s="38" t="n">
        <f aca="false">'Video Ideas'!I5</f>
        <v>1</v>
      </c>
      <c r="E23" s="38" t="str">
        <f aca="false">'Video Ideas'!K5</f>
        <v>Yes</v>
      </c>
    </row>
    <row r="24" customFormat="false" ht="15" hidden="false" customHeight="false" outlineLevel="0" collapsed="false">
      <c r="A24" s="37" t="str">
        <f aca="false">'Video Ideas'!D9</f>
        <v>All the packs I've bought</v>
      </c>
      <c r="B24" s="38" t="str">
        <f aca="false">'Video Ideas'!B9</f>
        <v>Collection Journey</v>
      </c>
      <c r="C24" s="38" t="n">
        <f aca="false">'Video Ideas'!H9</f>
        <v>6</v>
      </c>
      <c r="D24" s="38" t="n">
        <f aca="false">'Video Ideas'!I9</f>
        <v>1</v>
      </c>
      <c r="E24" s="38" t="str">
        <f aca="false">'Video Ideas'!K9</f>
        <v>Optional</v>
      </c>
    </row>
    <row r="25" customFormat="false" ht="15" hidden="false" customHeight="false" outlineLevel="0" collapsed="false">
      <c r="A25" s="37" t="str">
        <f aca="false">'Video Ideas'!D10</f>
        <v>Album completion % series</v>
      </c>
      <c r="B25" s="38" t="str">
        <f aca="false">'Video Ideas'!B10</f>
        <v>Collection Journey</v>
      </c>
      <c r="C25" s="38" t="n">
        <f aca="false">'Video Ideas'!H10</f>
        <v>9</v>
      </c>
      <c r="D25" s="38" t="n">
        <f aca="false">'Video Ideas'!I10</f>
        <v>1</v>
      </c>
      <c r="E25" s="38" t="str">
        <f aca="false">'Video Ideas'!K10</f>
        <v>Yes</v>
      </c>
    </row>
    <row r="26" customFormat="false" ht="15" hidden="false" customHeight="false" outlineLevel="0" collapsed="false">
      <c r="A26" s="37" t="str">
        <f aca="false">'Video Ideas'!D11</f>
        <v>Complete squad: Brazil</v>
      </c>
      <c r="B26" s="38" t="str">
        <f aca="false">'Video Ideas'!B11</f>
        <v>Country Series (Complete Squad)</v>
      </c>
      <c r="C26" s="38" t="n">
        <f aca="false">'Video Ideas'!H11</f>
        <v>9</v>
      </c>
      <c r="D26" s="38" t="n">
        <f aca="false">'Video Ideas'!I11</f>
        <v>1</v>
      </c>
      <c r="E26" s="38" t="str">
        <f aca="false">'Video Ideas'!K11</f>
        <v>Optional</v>
      </c>
    </row>
    <row r="27" customFormat="false" ht="15" hidden="false" customHeight="false" outlineLevel="0" collapsed="false">
      <c r="A27" s="37" t="str">
        <f aca="false">'Video Ideas'!D24</f>
        <v>"Forget your boyfriend while shopping"</v>
      </c>
      <c r="B27" s="38" t="str">
        <f aca="false">'Video Ideas'!B24</f>
        <v>Humor &amp; Sketches</v>
      </c>
      <c r="C27" s="38" t="n">
        <f aca="false">'Video Ideas'!H24</f>
        <v>6</v>
      </c>
      <c r="D27" s="38" t="n">
        <f aca="false">'Video Ideas'!I24</f>
        <v>3</v>
      </c>
      <c r="E27" s="38" t="str">
        <f aca="false">'Video Ideas'!K24</f>
        <v>Yes</v>
      </c>
    </row>
    <row r="28" customFormat="false" ht="15" hidden="false" customHeight="false" outlineLevel="0" collapsed="false">
      <c r="A28" s="37" t="str">
        <f aca="false">'Video Ideas'!D30</f>
        <v>"Pack dealer" at the bottom of the block</v>
      </c>
      <c r="B28" s="38" t="str">
        <f aca="false">'Video Ideas'!B30</f>
        <v>Humor &amp; Sketches</v>
      </c>
      <c r="C28" s="38" t="n">
        <f aca="false">'Video Ideas'!H30</f>
        <v>8</v>
      </c>
      <c r="D28" s="38" t="n">
        <f aca="false">'Video Ideas'!I30</f>
        <v>3</v>
      </c>
      <c r="E28" s="38" t="str">
        <f aca="false">'Video Ideas'!K30</f>
        <v>Yes</v>
      </c>
    </row>
    <row r="29" customFormat="false" ht="15" hidden="false" customHeight="false" outlineLevel="0" collapsed="false">
      <c r="A29" s="37" t="str">
        <f aca="false">'Video Ideas'!D31</f>
        <v>"My best XI in doubles"</v>
      </c>
      <c r="B29" s="38" t="str">
        <f aca="false">'Video Ideas'!B31</f>
        <v>Doubles &amp; Swap Demo</v>
      </c>
      <c r="C29" s="38" t="n">
        <f aca="false">'Video Ideas'!H31</f>
        <v>8</v>
      </c>
      <c r="D29" s="38" t="n">
        <f aca="false">'Video Ideas'!I31</f>
        <v>1</v>
      </c>
      <c r="E29" s="38" t="str">
        <f aca="false">'Video Ideas'!K31</f>
        <v>Optional</v>
      </c>
    </row>
    <row r="30" customFormat="false" ht="15" hidden="false" customHeight="false" outlineLevel="0" collapsed="false">
      <c r="A30" s="37" t="str">
        <f aca="false">'Video Ideas'!D41</f>
        <v>Pack-opening duel</v>
      </c>
      <c r="B30" s="38" t="str">
        <f aca="false">'Video Ideas'!B41</f>
        <v>Pack Opening Series</v>
      </c>
      <c r="C30" s="38" t="n">
        <f aca="false">'Video Ideas'!H41</f>
        <v>8</v>
      </c>
      <c r="D30" s="38" t="n">
        <f aca="false">'Video Ideas'!I41</f>
        <v>2</v>
      </c>
      <c r="E30" s="38" t="str">
        <f aca="false">'Video Ideas'!K41</f>
        <v>Yes</v>
      </c>
    </row>
    <row r="33" customFormat="false" ht="15" hidden="false" customHeight="false" outlineLevel="0" collapsed="false">
      <c r="A33" s="21" t="s">
        <v>155</v>
      </c>
      <c r="B33" s="21"/>
      <c r="C33" s="21"/>
      <c r="D33" s="21"/>
      <c r="E33" s="21"/>
    </row>
    <row r="34" customFormat="false" ht="15" hidden="false" customHeight="false" outlineLevel="0" collapsed="false">
      <c r="A34" s="36" t="s">
        <v>3</v>
      </c>
      <c r="B34" s="36" t="s">
        <v>1</v>
      </c>
      <c r="C34" s="36" t="s">
        <v>152</v>
      </c>
      <c r="D34" s="36" t="s">
        <v>153</v>
      </c>
      <c r="E34" s="36" t="s">
        <v>154</v>
      </c>
    </row>
    <row r="35" customFormat="false" ht="15" hidden="false" customHeight="false" outlineLevel="0" collapsed="false">
      <c r="A35" s="37" t="str">
        <f aca="false">'Video Ideas'!D22</f>
        <v>Sticker pack "Uber Eats" delivery</v>
      </c>
      <c r="B35" s="38" t="str">
        <f aca="false">'Video Ideas'!B22</f>
        <v>Humor &amp; Sketches</v>
      </c>
      <c r="C35" s="38" t="n">
        <f aca="false">'Video Ideas'!H22</f>
        <v>8</v>
      </c>
      <c r="D35" s="38" t="n">
        <f aca="false">'Video Ideas'!I22</f>
        <v>3</v>
      </c>
      <c r="E35" s="38" t="str">
        <f aca="false">'Video Ideas'!K22</f>
        <v>Yes</v>
      </c>
    </row>
    <row r="36" customFormat="false" ht="15" hidden="false" customHeight="false" outlineLevel="0" collapsed="false">
      <c r="A36" s="37" t="str">
        <f aca="false">'Video Ideas'!D27</f>
        <v>7 countries / 7 meals</v>
      </c>
      <c r="B36" s="38" t="str">
        <f aca="false">'Video Ideas'!B27</f>
        <v>Humor &amp; Sketches</v>
      </c>
      <c r="C36" s="38" t="n">
        <f aca="false">'Video Ideas'!H27</f>
        <v>6</v>
      </c>
      <c r="D36" s="38" t="n">
        <f aca="false">'Video Ideas'!I27</f>
        <v>5</v>
      </c>
      <c r="E36" s="38" t="str">
        <f aca="false">'Video Ideas'!K27</f>
        <v>Yes</v>
      </c>
    </row>
    <row r="37" customFormat="false" ht="15" hidden="false" customHeight="false" outlineLevel="0" collapsed="false">
      <c r="A37" s="37" t="str">
        <f aca="false">'Video Ideas'!D43</f>
        <v>2 packs during France match</v>
      </c>
      <c r="B37" s="38" t="str">
        <f aca="false">'Video Ideas'!B43</f>
        <v>Pack Opening Series</v>
      </c>
      <c r="C37" s="38" t="n">
        <f aca="false">'Video Ideas'!H43</f>
        <v>9</v>
      </c>
      <c r="D37" s="38" t="n">
        <f aca="false">'Video Ideas'!I43</f>
        <v>2</v>
      </c>
      <c r="E37" s="38" t="str">
        <f aca="false">'Video Ideas'!K43</f>
        <v>Yes</v>
      </c>
    </row>
  </sheetData>
  <mergeCells count="5">
    <mergeCell ref="A1:E1"/>
    <mergeCell ref="A3:B3"/>
    <mergeCell ref="A10:D10"/>
    <mergeCell ref="A20:E20"/>
    <mergeCell ref="A33:E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2026-06-15T20:07:21Z</dcterms:created>
  <dc:creator>openpyxl</dc:creator>
  <dc:description/>
  <dc:language>en-US</dc:language>
  <cp:lastModifiedBy/>
  <dcterms:modified xsi:type="dcterms:W3CDTF">2026-06-15T20:07:21Z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