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obbieARHIP-PATERSON\Documents\Privé\Swap panini\Swap panini\"/>
    </mc:Choice>
  </mc:AlternateContent>
  <xr:revisionPtr revIDLastSave="0" documentId="13_ncr:1_{0060459A-AD97-465C-AFD9-ADD4A1DC8954}" xr6:coauthVersionLast="47" xr6:coauthVersionMax="47" xr10:uidLastSave="{00000000-0000-0000-0000-000000000000}"/>
  <bookViews>
    <workbookView xWindow="19090" yWindow="1180" windowWidth="19420" windowHeight="10300" tabRatio="500" xr2:uid="{00000000-000D-0000-FFFF-FFFF00000000}"/>
  </bookViews>
  <sheets>
    <sheet name="Video Ideas" sheetId="1" r:id="rId1"/>
    <sheet name="Executive Summary" sheetId="2" r:id="rId2"/>
  </sheets>
  <definedNames>
    <definedName name="_xlnm._FilterDatabase" localSheetId="0" hidden="1">'Video Ideas'!$A$1:$Q$71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2" l="1"/>
  <c r="E33" i="2"/>
  <c r="D33" i="2"/>
  <c r="B33" i="2"/>
  <c r="A33" i="2"/>
  <c r="F32" i="2"/>
  <c r="E32" i="2"/>
  <c r="D32" i="2"/>
  <c r="B32" i="2"/>
  <c r="A32" i="2"/>
  <c r="F31" i="2"/>
  <c r="E31" i="2"/>
  <c r="D31" i="2"/>
  <c r="B31" i="2"/>
  <c r="A31" i="2"/>
  <c r="F30" i="2"/>
  <c r="E30" i="2"/>
  <c r="D30" i="2"/>
  <c r="B30" i="2"/>
  <c r="A30" i="2"/>
  <c r="F29" i="2"/>
  <c r="E29" i="2"/>
  <c r="D29" i="2"/>
  <c r="B29" i="2"/>
  <c r="A29" i="2"/>
  <c r="F28" i="2"/>
  <c r="E28" i="2"/>
  <c r="D28" i="2"/>
  <c r="B28" i="2"/>
  <c r="A28" i="2"/>
  <c r="F27" i="2"/>
  <c r="E27" i="2"/>
  <c r="D27" i="2"/>
  <c r="B27" i="2"/>
  <c r="A27" i="2"/>
  <c r="F26" i="2"/>
  <c r="E26" i="2"/>
  <c r="D26" i="2"/>
  <c r="B26" i="2"/>
  <c r="A26" i="2"/>
  <c r="F25" i="2"/>
  <c r="E25" i="2"/>
  <c r="D25" i="2"/>
  <c r="C25" i="2"/>
  <c r="B25" i="2"/>
  <c r="A25" i="2"/>
  <c r="F24" i="2"/>
  <c r="E24" i="2"/>
  <c r="D24" i="2"/>
  <c r="B24" i="2"/>
  <c r="A24" i="2"/>
  <c r="F23" i="2"/>
  <c r="E23" i="2"/>
  <c r="D23" i="2"/>
  <c r="C23" i="2"/>
  <c r="B23" i="2"/>
  <c r="A23" i="2"/>
  <c r="F22" i="2"/>
  <c r="E22" i="2"/>
  <c r="D22" i="2"/>
  <c r="B22" i="2"/>
  <c r="A22" i="2"/>
  <c r="D18" i="2"/>
  <c r="B18" i="2"/>
  <c r="D17" i="2"/>
  <c r="B17" i="2"/>
  <c r="D16" i="2"/>
  <c r="B16" i="2"/>
  <c r="D15" i="2"/>
  <c r="B15" i="2"/>
  <c r="D14" i="2"/>
  <c r="B14" i="2"/>
  <c r="D13" i="2"/>
  <c r="B13" i="2"/>
  <c r="D12" i="2"/>
  <c r="B12" i="2"/>
  <c r="B7" i="2"/>
  <c r="B6" i="2"/>
  <c r="B4" i="2"/>
  <c r="H60" i="1"/>
  <c r="H66" i="1"/>
  <c r="H54" i="1"/>
  <c r="H14" i="1"/>
  <c r="H11" i="1"/>
  <c r="H18" i="1"/>
  <c r="H2" i="1"/>
  <c r="H26" i="1"/>
  <c r="H48" i="1"/>
  <c r="H47" i="1"/>
  <c r="H40" i="1"/>
  <c r="H38" i="1"/>
  <c r="H34" i="1"/>
  <c r="H22" i="1"/>
  <c r="H16" i="1"/>
  <c r="H8" i="1"/>
  <c r="H17" i="1"/>
  <c r="H13" i="1"/>
  <c r="C27" i="2" s="1"/>
  <c r="H7" i="1"/>
  <c r="H5" i="1"/>
  <c r="H70" i="1"/>
  <c r="C17" i="2" s="1"/>
  <c r="H46" i="1"/>
  <c r="H44" i="1"/>
  <c r="H33" i="1"/>
  <c r="H30" i="1"/>
  <c r="H20" i="1"/>
  <c r="H15" i="1"/>
  <c r="H65" i="1"/>
  <c r="H58" i="1"/>
  <c r="H69" i="1"/>
  <c r="H64" i="1"/>
  <c r="C33" i="2" s="1"/>
  <c r="H62" i="1"/>
  <c r="H12" i="1"/>
  <c r="H52" i="1"/>
  <c r="H68" i="1"/>
  <c r="C15" i="2" s="1"/>
  <c r="H39" i="1"/>
  <c r="H51" i="1"/>
  <c r="H56" i="1"/>
  <c r="H43" i="1"/>
  <c r="H10" i="1"/>
  <c r="H29" i="1"/>
  <c r="H32" i="1"/>
  <c r="H50" i="1"/>
  <c r="H4" i="1"/>
  <c r="H63" i="1"/>
  <c r="H21" i="1"/>
  <c r="C30" i="2" s="1"/>
  <c r="H28" i="1"/>
  <c r="H42" i="1"/>
  <c r="H37" i="1"/>
  <c r="H19" i="1"/>
  <c r="H53" i="1"/>
  <c r="H24" i="1"/>
  <c r="H25" i="1"/>
  <c r="H6" i="1"/>
  <c r="H36" i="1"/>
  <c r="H71" i="1"/>
  <c r="H67" i="1"/>
  <c r="H61" i="1"/>
  <c r="C28" i="2" s="1"/>
  <c r="H57" i="1"/>
  <c r="H55" i="1"/>
  <c r="C26" i="2" s="1"/>
  <c r="H49" i="1"/>
  <c r="H41" i="1"/>
  <c r="C24" i="2" s="1"/>
  <c r="H27" i="1"/>
  <c r="C31" i="2" s="1"/>
  <c r="H9" i="1"/>
  <c r="H45" i="1"/>
  <c r="H23" i="1"/>
  <c r="H31" i="1"/>
  <c r="H59" i="1"/>
  <c r="C22" i="2" s="1"/>
  <c r="H35" i="1"/>
  <c r="H3" i="1"/>
  <c r="C12" i="2" s="1"/>
  <c r="C13" i="2" l="1"/>
  <c r="C16" i="2"/>
  <c r="C29" i="2"/>
  <c r="C32" i="2"/>
  <c r="C14" i="2"/>
  <c r="C18" i="2"/>
  <c r="B5" i="2"/>
  <c r="B8" i="2"/>
</calcChain>
</file>

<file path=xl/sharedStrings.xml><?xml version="1.0" encoding="utf-8"?>
<sst xmlns="http://schemas.openxmlformats.org/spreadsheetml/2006/main" count="703" uniqueCount="289">
  <si>
    <t>ID</t>
  </si>
  <si>
    <t>Theme</t>
  </si>
  <si>
    <t>Sub-theme</t>
  </si>
  <si>
    <t>Video Idea</t>
  </si>
  <si>
    <t>Description / Format</t>
  </si>
  <si>
    <t>Relevance (1-5)</t>
  </si>
  <si>
    <t>Virality (1-5)</t>
  </si>
  <si>
    <t>Priority Score (/10)</t>
  </si>
  <si>
    <t>Complexity (1-5)</t>
  </si>
  <si>
    <t>Est. Production Time</t>
  </si>
  <si>
    <t>Face Cam</t>
  </si>
  <si>
    <t>Status</t>
  </si>
  <si>
    <t>Post Date</t>
  </si>
  <si>
    <t>Time</t>
  </si>
  <si>
    <t>Hook (opening line)</t>
  </si>
  <si>
    <t>Caption (post description)</t>
  </si>
  <si>
    <t>Music / Audio</t>
  </si>
  <si>
    <t>Brand &amp; Promo</t>
  </si>
  <si>
    <t>App launch</t>
  </si>
  <si>
    <t>Hero promo video</t>
  </si>
  <si>
    <t>Explain the Swappanini concept on camera with live app demo overlay</t>
  </si>
  <si>
    <t>30-45 min</t>
  </si>
  <si>
    <t>Yes</t>
  </si>
  <si>
    <t>Idea</t>
  </si>
  <si>
    <t>17/06</t>
  </si>
  <si>
    <t>9h</t>
  </si>
  <si>
    <t>You collect Panini World Cup 2026? We need to talk... 👀</t>
  </si>
  <si>
    <t>We built a free app to find collectors who have YOUR doubles — anywhere in the world 🌍
No money. Just stickers. Just swaps.
Be one of the first → swap26.com
#Swappanini #Panini2026 #WorldCup2026 #PaniniSwap #Football</t>
  </si>
  <si>
    <t>Build-up / reveal trending sound (suspense drop)</t>
  </si>
  <si>
    <t>Community concept</t>
  </si>
  <si>
    <t>"Collective album" video</t>
  </si>
  <si>
    <t>Show the community swap experience — multiple albums completing each other visually</t>
  </si>
  <si>
    <t>Optional</t>
  </si>
  <si>
    <t>01/07</t>
  </si>
  <si>
    <t>Collection Journey</t>
  </si>
  <si>
    <t>Best lineup</t>
  </si>
  <si>
    <t>My current best XI</t>
  </si>
  <si>
    <t>Best starting XI built only from stickers you currently own — update as collection grows</t>
  </si>
  <si>
    <t>10-15 min</t>
  </si>
  <si>
    <t>13/07</t>
  </si>
  <si>
    <t>Tips &amp; tricks</t>
  </si>
  <si>
    <t>Coca-Cola pack-opening trick</t>
  </si>
  <si>
    <t>Lifehack to 'control' which sticker comes out using a bottle — viral format</t>
  </si>
  <si>
    <t>&lt;1 min</t>
  </si>
  <si>
    <t>No</t>
  </si>
  <si>
    <t>29/06</t>
  </si>
  <si>
    <t>19h</t>
  </si>
  <si>
    <t>Sticker placement tutorial + my fails</t>
  </si>
  <si>
    <t>How to glue stickers properly + humorous segment showing your own badly-placed ones</t>
  </si>
  <si>
    <t>25/06</t>
  </si>
  <si>
    <t>Collection showcase</t>
  </si>
  <si>
    <t>All my crests/badges</t>
  </si>
  <si>
    <t>Showcase of the full crest/badge page of the album</t>
  </si>
  <si>
    <t>06/07</t>
  </si>
  <si>
    <t>Comedy/Showcase</t>
  </si>
  <si>
    <t>"Payday = packs" haul</t>
  </si>
  <si>
    <t>Already filmed — reframed as 'when you get paid and spend it all on packs' comedy format</t>
  </si>
  <si>
    <t>Ready (0 min)</t>
  </si>
  <si>
    <t>Ready to post</t>
  </si>
  <si>
    <t>19/06</t>
  </si>
  <si>
    <t>Payday. Priority #1: Panini packs. We just have different values 💰🃏</t>
  </si>
  <si>
    <t>Some people save. I invest in the 2026 album 🤷
#PayDay #Panini2026 #WorldCup2026 #PackOpening #Swappanini</t>
  </si>
  <si>
    <t>'Money' TikTok trending audio (ABBA 'Money Money Money' or 'Rich Girl' remix)</t>
  </si>
  <si>
    <t>Progress milestones</t>
  </si>
  <si>
    <t>Album completion: 50%</t>
  </si>
  <si>
    <t>Short progress update — album 50% complete</t>
  </si>
  <si>
    <t>27/06</t>
  </si>
  <si>
    <t>Album completion: 65%</t>
  </si>
  <si>
    <t>Short progress update — album 65% complete</t>
  </si>
  <si>
    <t>04/07</t>
  </si>
  <si>
    <t>Album completion: 75%</t>
  </si>
  <si>
    <t>Short progress update — album 75% complete</t>
  </si>
  <si>
    <t>08/07</t>
  </si>
  <si>
    <t>Album completion: 80%</t>
  </si>
  <si>
    <t>Short progress update — album 80% complete</t>
  </si>
  <si>
    <t>11/07</t>
  </si>
  <si>
    <t>Album completion: 85%</t>
  </si>
  <si>
    <t>Short progress update — album 85% complete</t>
  </si>
  <si>
    <t>12/07</t>
  </si>
  <si>
    <t>Album completion: 90%</t>
  </si>
  <si>
    <t>Short progress update — album 90% complete</t>
  </si>
  <si>
    <t>14/07</t>
  </si>
  <si>
    <t>Album completion: 95%</t>
  </si>
  <si>
    <t>Short progress update — album 95% complete</t>
  </si>
  <si>
    <t>17/07</t>
  </si>
  <si>
    <t>Album completion: 100% (celebration)</t>
  </si>
  <si>
    <t>The big reveal — album finally complete, celebration format</t>
  </si>
  <si>
    <t>15-20 min</t>
  </si>
  <si>
    <t>19/07</t>
  </si>
  <si>
    <t>21h</t>
  </si>
  <si>
    <t>Visual effects</t>
  </si>
  <si>
    <t>Slow-motion: player walks to his slot</t>
  </si>
  <si>
    <t>Slow-mo / visual effect where a 'player' travels to his sticker location in the album</t>
  </si>
  <si>
    <t>Player content (chants)</t>
  </si>
  <si>
    <t>Chant video: Mohamed Salah</t>
  </si>
  <si>
    <t>Sticker reveal for Salah (Egypt/Liverpool) set to the iconic 'Mo Salah' terrace chant</t>
  </si>
  <si>
    <t>18/06</t>
  </si>
  <si>
    <t>The Salah sticker in the album... with THE chant that goes with it 🎵</t>
  </si>
  <si>
    <t>Mo Salah, Mo Salah, running down the wing 🎶
Egypt at the World Cup 2026 🇪🇬 Who has this one as a double?
#MoSalah #Egypt #WorldCup2026 #PaniniChant #Swappanini</t>
  </si>
  <si>
    <t>Mo Salah - The Egyptian King (original Liverpool terrace chant)</t>
  </si>
  <si>
    <t>Chant video: Erling Haaland</t>
  </si>
  <si>
    <t>Sticker reveal for Haaland (Norway/Man City) set to his cult terrace chant</t>
  </si>
  <si>
    <t>26/06</t>
  </si>
  <si>
    <t>Chant video: Martin Odegaard</t>
  </si>
  <si>
    <t>Sticker reveal for Odegaard (Norway/Arsenal) set to the 'Ode-gaard' chant</t>
  </si>
  <si>
    <t>Chant video: John McGinn</t>
  </si>
  <si>
    <t>Sticker reveal for McGinn (Scotland/Aston Villa) — cult-favourite chant</t>
  </si>
  <si>
    <t>10/07</t>
  </si>
  <si>
    <t>Chant video: Cole Palmer</t>
  </si>
  <si>
    <t>Sticker reveal for Cole Palmer (England/Chelsea) + viral 'Cold Palmer' celebration pose</t>
  </si>
  <si>
    <t>23/06</t>
  </si>
  <si>
    <t>22h</t>
  </si>
  <si>
    <t>Chant video: Virgil van Dijk</t>
  </si>
  <si>
    <t>Sticker reveal for Van Dijk (Netherlands/Liverpool) — the captain's chant</t>
  </si>
  <si>
    <t>02/07</t>
  </si>
  <si>
    <t>Chant video: Granit Xhaka</t>
  </si>
  <si>
    <t>Sticker reveal for Xhaka (Switzerland) — the iconic 'Xhaka, woah' chant</t>
  </si>
  <si>
    <t>Chant video: Andrew Robertson</t>
  </si>
  <si>
    <t>Sticker reveal for Robertson (Scotland/Liverpool) — fan-favourite chant</t>
  </si>
  <si>
    <t>23h</t>
  </si>
  <si>
    <t>Country Series (Complete Squad)</t>
  </si>
  <si>
    <t>Team set</t>
  </si>
  <si>
    <t>Complete squad: Brazil</t>
  </si>
  <si>
    <t>Lay out and film every Brazil sticker in the album</t>
  </si>
  <si>
    <t>24/06</t>
  </si>
  <si>
    <t>Complete squad: France</t>
  </si>
  <si>
    <t>Lay out and film every France sticker — local audience hook</t>
  </si>
  <si>
    <t>15/07</t>
  </si>
  <si>
    <t>Complete squad: England</t>
  </si>
  <si>
    <t>Lay out and film every England sticker</t>
  </si>
  <si>
    <t>18h</t>
  </si>
  <si>
    <t>🏴󠁧󠁢󠁥󠁮󠁧󠁿 England tonight — here's my full England squad in the album</t>
  </si>
  <si>
    <t>England vs Croatia in a few hours 👀
Full Three Lions squad — who's still missing from yours?
Swap your doubles at swap26.com 🌍
#EnglandVsCroatia #ThreeLions #WorldCup2026 #PaniniWorldCup #Swappanini</t>
  </si>
  <si>
    <t>Three Lions (It's Coming Home) — short clip ≤15s</t>
  </si>
  <si>
    <t>Complete squad: Spain</t>
  </si>
  <si>
    <t>Lay out and film every Spain sticker</t>
  </si>
  <si>
    <t>Complete squad: Uruguay</t>
  </si>
  <si>
    <t>Lay out and film every Uruguay sticker</t>
  </si>
  <si>
    <t>Complete squad: Colombia</t>
  </si>
  <si>
    <t>Lay out and film every Colombia sticker</t>
  </si>
  <si>
    <t>28/06</t>
  </si>
  <si>
    <t>Complete squad: Scotland</t>
  </si>
  <si>
    <t>Lay out and film every Scotland sticker</t>
  </si>
  <si>
    <t>🏴󠁧󠁢󠁳󠁣󠁴󠁿 Scotland vs Morocco tonight — here's my full Scotland squad</t>
  </si>
  <si>
    <t>Come on Scotland! 🔵⚪ Full squad laid out — who's missing from yours?
Swap doubles at swap26.com 🌍
#ScotlandVsMorocco #WorldCup2026 #Panini #Scotland #Swappanini</t>
  </si>
  <si>
    <t>Flower of Scotland — short clip ≤15s</t>
  </si>
  <si>
    <t>Complete squad: Ecuador</t>
  </si>
  <si>
    <t>Lay out and film every Ecuador sticker — ties into 'send him Ecuador' joke</t>
  </si>
  <si>
    <t>05/07</t>
  </si>
  <si>
    <t>Complete squad: Panama</t>
  </si>
  <si>
    <t>Lay out and film every Panama sticker — novelty: first-ever World Cup squad</t>
  </si>
  <si>
    <t>Complete squad: Bosnia</t>
  </si>
  <si>
    <t>Lay out and film every Bosnia sticker</t>
  </si>
  <si>
    <t>09/07</t>
  </si>
  <si>
    <t>Complete squad: DR Congo</t>
  </si>
  <si>
    <t>Lay out and film every DR Congo sticker — historic qualification story</t>
  </si>
  <si>
    <t>03/07</t>
  </si>
  <si>
    <t>Humor &amp; Sketches</t>
  </si>
  <si>
    <t>Delivery parody</t>
  </si>
  <si>
    <t>Sticker pack "Uber Eats" delivery</t>
  </si>
  <si>
    <t>Sketch: pack delivered to your door like a food order, with a delivery driver cameo</t>
  </si>
  <si>
    <t>Eurostar pack delivery</t>
  </si>
  <si>
    <t>Same delivery gag set on/around the Eurostar — international swap angle</t>
  </si>
  <si>
    <t>45-60 min</t>
  </si>
  <si>
    <t>Couple sketch</t>
  </si>
  <si>
    <t>"Wrong bag" shopping swap</t>
  </si>
  <si>
    <t>Already filmed — partner hands you a garment; you open it and it's a sticker pack instead</t>
  </si>
  <si>
    <t>20/06</t>
  </si>
  <si>
    <t>Trend audio</t>
  </si>
  <si>
    <t>"I don't cook, I don't clean" (...I collect stickers)</t>
  </si>
  <si>
    <t>Adapt the trending audio to the sticker collector persona</t>
  </si>
  <si>
    <t>"Please send him Ecuador!"</t>
  </si>
  <si>
    <t>Couple travels to Ecuador reference; punchline — she begs for the missing Ecuador sticker</t>
  </si>
  <si>
    <t>Food/travel trend</t>
  </si>
  <si>
    <t>7 countries / 7 meals</t>
  </si>
  <si>
    <t>World Cup-themed food tour — 7 national dishes in one video</t>
  </si>
  <si>
    <t>1h+</t>
  </si>
  <si>
    <t>18/07</t>
  </si>
  <si>
    <t>Travel trend</t>
  </si>
  <si>
    <t>Player tour guide in Paris</t>
  </si>
  <si>
    <t>Reverse the 'bestie takes you everywhere' trend — you show Paris to a 'player'</t>
  </si>
  <si>
    <t>Street parody</t>
  </si>
  <si>
    <t>"Pack dealer" at the bottom of the block</t>
  </si>
  <si>
    <t>Street dealer aesthetic parody, but 'dealing' sticker packs</t>
  </si>
  <si>
    <t>16/07</t>
  </si>
  <si>
    <t>Community &amp; Growth Loops</t>
  </si>
  <si>
    <t>Treasure hunt</t>
  </si>
  <si>
    <t>Treasure hunt #1 - Hide (Parc des Princes area)</t>
  </si>
  <si>
    <t>Hide a rare sticker near a Paris football landmark — visual clue only, no location named</t>
  </si>
  <si>
    <t>21/06</t>
  </si>
  <si>
    <t>10h</t>
  </si>
  <si>
    <t>Treasure hunt #1 - Reveal</t>
  </si>
  <si>
    <t>48h later: exact clue dropped via Instagram Story; recap + reward for finder</t>
  </si>
  <si>
    <t>Treasure hunt #2 - Hide (Champs-Elysées sports store)</t>
  </si>
  <si>
    <t>Hide a rare sticker near a major Paris sports retailer — visual clue only</t>
  </si>
  <si>
    <t>Treasure hunt #2 - Reveal</t>
  </si>
  <si>
    <t>48h later: exact clue via Instagram Story; recap + reward for finder</t>
  </si>
  <si>
    <t>30/06</t>
  </si>
  <si>
    <t>Treasure hunt #3 - Hide (football-themed cafe/bar)</t>
  </si>
  <si>
    <t>Hide a rare sticker at a football-themed Paris venue — visual clue only</t>
  </si>
  <si>
    <t>Treasure hunt #3 - Reveal</t>
  </si>
  <si>
    <t>Doubles &amp; Swap Demo</t>
  </si>
  <si>
    <t>Lineup showcase</t>
  </si>
  <si>
    <t>"My best XI in doubles"</t>
  </si>
  <si>
    <t>Starting XI built entirely from duplicate stickers — shows swap inventory at a glance</t>
  </si>
  <si>
    <t>My best XI... made ONLY from my Panini doubles 🤯</t>
  </si>
  <si>
    <t>These players are all available for swap 🔄
Want one? swap26.com or DM me 📲
#BestXI #Doubles #Panini2026 #Swappanini #WorldCup2026</t>
  </si>
  <si>
    <t>Football / FIFA gaming theme trending sound</t>
  </si>
  <si>
    <t>Call to action</t>
  </si>
  <si>
    <t>"Exchange alert" live matching</t>
  </si>
  <si>
    <t>List your doubles, ask viewers to comment what they need — match live in comments</t>
  </si>
  <si>
    <t>14h</t>
  </si>
  <si>
    <t>SWAP ALERT 🚨 Here are my Panini 2026 doubles right now</t>
  </si>
  <si>
    <t>Drop what you're looking for in the comments 👇
Or match automatically with collectors worldwide → swap26.com ⬆️
#PaniniDoubles #Panini2026 #WorldCup2026 #Swappanini #StickerSwap</t>
  </si>
  <si>
    <t>Notification / alert trending TikTok sound</t>
  </si>
  <si>
    <t>Inventory</t>
  </si>
  <si>
    <t>All my doubles</t>
  </si>
  <si>
    <t>Full showcase of every duplicate sticker you own</t>
  </si>
  <si>
    <t>ALL my Panini 2026 doubles — there's something for everyone 🃏</t>
  </si>
  <si>
    <t>I'll swap them for your missing ones 🔄
Comment what you need or swap directly at swap26.com ⬆️
#Doubles #Panini2026 #StickerSwap #Swappanini #WorldCup2026</t>
  </si>
  <si>
    <t>Showcase / inventory trending TikTok sound</t>
  </si>
  <si>
    <t>Before/after</t>
  </si>
  <si>
    <t>Real swap with a work colleague</t>
  </si>
  <si>
    <t>Real swap filmed with a work colleague — before/after showing both collections completed</t>
  </si>
  <si>
    <t>20-30 min</t>
  </si>
  <si>
    <t>Platform demo</t>
  </si>
  <si>
    <t>Swap from the app - walkthrough</t>
  </si>
  <si>
    <t>Screen-recorded live demo of completing a swap on the Swappanini platform</t>
  </si>
  <si>
    <t>30 min</t>
  </si>
  <si>
    <t>22/06</t>
  </si>
  <si>
    <t>Pack Opening Series</t>
  </si>
  <si>
    <t>Pack opening #9</t>
  </si>
  <si>
    <t>Already filmed/edited — ready to publish</t>
  </si>
  <si>
    <t>POV: opening Panini packs at 9am with zero regrets 🃏</t>
  </si>
  <si>
    <t>Pack #9 — FIFA World Cup 2026 🌍
Got any of my doubles? Swap for free at swap26.com ⬆️
#Panini #WorldCup2026 #PackOpening #Swappanini #PaniniWorldCup2026</t>
  </si>
  <si>
    <t>Upbeat trending TikTok morning sound</t>
  </si>
  <si>
    <t>Pack opening #10</t>
  </si>
  <si>
    <t>Pack opening #11</t>
  </si>
  <si>
    <t>Home edit batch</t>
  </si>
  <si>
    <t>Pack opening #12 (home, CapCut)</t>
  </si>
  <si>
    <t>Film/edit one standard pack-opening at home</t>
  </si>
  <si>
    <t>Pack opening #13 (home, CapCut)</t>
  </si>
  <si>
    <t>Pack opening #14 (home, CapCut)</t>
  </si>
  <si>
    <t>Recurring bit</t>
  </si>
  <si>
    <t>"Fake pack" gag - continued</t>
  </si>
  <si>
    <t>Continue the recurring fake-pack prank format</t>
  </si>
  <si>
    <t>07/07</t>
  </si>
  <si>
    <t>Competitive format</t>
  </si>
  <si>
    <t>Pack-opening duel</t>
  </si>
  <si>
    <t>Head-to-head pack opening vs a friend/creator — who pulls the better player</t>
  </si>
  <si>
    <t>Star player</t>
  </si>
  <si>
    <t>Messi-themed pack opening</t>
  </si>
  <si>
    <t>Already filmed — pack opening framed entirely around pulling a Messi card</t>
  </si>
  <si>
    <t>17h</t>
  </si>
  <si>
    <t>Live reaction</t>
  </si>
  <si>
    <t>Pack opening 1/2 - during France match</t>
  </si>
  <si>
    <t>Open a pack live during a France match</t>
  </si>
  <si>
    <t>20 min (match-timed)</t>
  </si>
  <si>
    <t>16/06</t>
  </si>
  <si>
    <t>Opening packs LIVE during France vs Senegal 🇫🇷🎴 Let's gooo</t>
  </si>
  <si>
    <t>Match 1 for Les Bleus → pack 1 for the album 🤞 Who else collects during the games?
Swap your doubles for free → swap26.com 🌍
#FranceSenegal #WorldCup2026 #Panini #PackOpening #Swappanini</t>
  </si>
  <si>
    <t>Stadium crowd noise / French supporters chant — 'Allez les Bleus'</t>
  </si>
  <si>
    <t>Pack opening 2/2 - during France match</t>
  </si>
  <si>
    <t>Open a second pack live during the same France match</t>
  </si>
  <si>
    <t>Pack opening 1/2 - during Scotland-Morocco match</t>
  </si>
  <si>
    <t>Open a pack live during the Scotland-Morocco match</t>
  </si>
  <si>
    <t>Pack opening 2/2 - during Scotland-Morocco match</t>
  </si>
  <si>
    <t>Open a second pack live during the Scotland-Morocco match</t>
  </si>
  <si>
    <t>Travel/location</t>
  </si>
  <si>
    <t>Pack opening - on the Eurostar</t>
  </si>
  <si>
    <t>Pack opening filmed on the Eurostar</t>
  </si>
  <si>
    <t>Pack opening - in London</t>
  </si>
  <si>
    <t>Pack opening filmed in London</t>
  </si>
  <si>
    <t>Pack opening - hotel room or community meetup</t>
  </si>
  <si>
    <t>Pack opening filmed at a hotel room or community meetup</t>
  </si>
  <si>
    <t>Swappanini — Content Dashboard</t>
  </si>
  <si>
    <t>Key Stats</t>
  </si>
  <si>
    <t>Total ideas logged</t>
  </si>
  <si>
    <t>Average Priority (/10)</t>
  </si>
  <si>
    <t>Ready to post NOW</t>
  </si>
  <si>
    <t>Posts scheduled (date set)</t>
  </si>
  <si>
    <t>Quick wins (Priority≥9, Complexity=1)</t>
  </si>
  <si>
    <t>Breakdown by Theme</t>
  </si>
  <si>
    <t># Ideas</t>
  </si>
  <si>
    <t>Avg Priority</t>
  </si>
  <si>
    <t>Avg Complexity</t>
  </si>
  <si>
    <t>Quick Wins — Post First (Priority ≥9, Complexity =1)</t>
  </si>
  <si>
    <t>Priority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</si>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</sst>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1B3B1A"/>
      <name val="Arial"/>
      <charset val="1"/>
    </font>
    <font>
      <b/>
      <sz val="14"/>
      <color rgb="FF1B3B1A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B1A"/>
        <bgColor rgb="FF333300"/>
      </patternFill>
    </fill>
    <fill>
      <patternFill patternType="solid">
        <fgColor rgb="FFE8F5E9"/>
        <bgColor rgb="FFE0F2F1"/>
      </patternFill>
    </fill>
    <fill>
      <patternFill patternType="solid">
        <fgColor rgb="FFAAFF00"/>
        <bgColor rgb="FFFFFF00"/>
      </patternFill>
    </fill>
    <fill>
      <patternFill patternType="solid">
        <fgColor rgb="FFE3F2FD"/>
        <bgColor rgb="FFE0F2F1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EDE7F6"/>
      </patternFill>
    </fill>
    <fill>
      <patternFill patternType="solid">
        <fgColor rgb="FFE0F2F1"/>
        <bgColor rgb="FFE3F2FD"/>
      </patternFill>
    </fill>
    <fill>
      <patternFill patternType="solid">
        <fgColor rgb="FFEDE7F6"/>
        <bgColor rgb="FFFCE4EC"/>
      </patternFill>
    </fill>
    <fill>
      <patternFill patternType="solid">
        <fgColor rgb="FFFFFDE7"/>
        <bgColor rgb="FFFFF3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5" fillId="2" borderId="0" xfId="0" applyFont="1" applyFill="1"/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6" fillId="7" borderId="0" xfId="0" applyFont="1" applyFill="1" applyAlignment="1">
      <alignment horizontal="left"/>
    </xf>
    <xf numFmtId="0" fontId="6" fillId="7" borderId="0" xfId="0" applyFont="1" applyFill="1" applyAlignment="1">
      <alignment horizontal="center"/>
    </xf>
    <xf numFmtId="0" fontId="6" fillId="8" borderId="0" xfId="0" applyFont="1" applyFill="1" applyAlignment="1">
      <alignment horizontal="left"/>
    </xf>
    <xf numFmtId="0" fontId="6" fillId="8" borderId="0" xfId="0" applyFont="1" applyFill="1" applyAlignment="1">
      <alignment horizontal="center"/>
    </xf>
    <xf numFmtId="0" fontId="6" fillId="9" borderId="0" xfId="0" applyFont="1" applyFill="1" applyAlignment="1">
      <alignment horizontal="left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left"/>
    </xf>
    <xf numFmtId="0" fontId="6" fillId="10" borderId="0" xfId="0" applyFont="1" applyFill="1" applyAlignment="1">
      <alignment horizontal="center"/>
    </xf>
    <xf numFmtId="0" fontId="7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DE7"/>
      <rgbColor rgb="FFE0F2F1"/>
      <rgbColor rgb="FF660066"/>
      <rgbColor rgb="FFFF8080"/>
      <rgbColor rgb="FF0066CC"/>
      <rgbColor rgb="FFEDE7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99CCFF"/>
      <rgbColor rgb="FFFF99CC"/>
      <rgbColor rgb="FFCC99FF"/>
      <rgbColor rgb="FFFCE4EC"/>
      <rgbColor rgb="FF3366FF"/>
      <rgbColor rgb="FF33CCCC"/>
      <rgbColor rgb="FFAAFF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B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1"/>
  <sheetViews>
    <sheetView tabSelected="1" zoomScaleNormal="100" workbookViewId="0">
      <pane xSplit="1" ySplit="1" topLeftCell="D89" activePane="bottomRight" state="frozen"/>
      <selection pane="topRight" activeCell="B1" sqref="B1"/>
      <selection pane="bottomLeft" activeCell="A2" sqref="A2"/>
      <selection pane="bottomRight" activeCell="E28" sqref="E28"/>
    </sheetView>
  </sheetViews>
  <sheetFormatPr baseColWidth="10" defaultColWidth="8.6328125" defaultRowHeight="14.5" x14ac:dyDescent="0.35"/>
  <cols>
    <col min="1" max="1" width="5" customWidth="1"/>
    <col min="2" max="3" width="20" customWidth="1"/>
    <col min="4" max="4" width="30" customWidth="1"/>
    <col min="5" max="5" width="38" customWidth="1"/>
    <col min="6" max="9" width="9" customWidth="1"/>
    <col min="10" max="10" width="15" customWidth="1"/>
    <col min="11" max="11" width="9" customWidth="1"/>
    <col min="12" max="12" width="13" customWidth="1"/>
    <col min="13" max="13" width="9" customWidth="1"/>
    <col min="14" max="14" width="7" customWidth="1"/>
    <col min="15" max="15" width="40" customWidth="1"/>
    <col min="16" max="16" width="55" customWidth="1"/>
    <col min="17" max="17" width="38" customWidth="1"/>
  </cols>
  <sheetData>
    <row r="1" spans="1:17" ht="36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ht="51.75" customHeight="1" x14ac:dyDescent="0.35">
      <c r="A2" s="23">
        <v>64</v>
      </c>
      <c r="B2" s="24" t="s">
        <v>230</v>
      </c>
      <c r="C2" s="24" t="s">
        <v>254</v>
      </c>
      <c r="D2" s="25" t="s">
        <v>255</v>
      </c>
      <c r="E2" s="25" t="s">
        <v>256</v>
      </c>
      <c r="F2" s="23">
        <v>4</v>
      </c>
      <c r="G2" s="23">
        <v>5</v>
      </c>
      <c r="H2" s="23">
        <f>F2+G2</f>
        <v>9</v>
      </c>
      <c r="I2" s="23">
        <v>2</v>
      </c>
      <c r="J2" s="24" t="s">
        <v>257</v>
      </c>
      <c r="K2" s="24" t="s">
        <v>22</v>
      </c>
      <c r="L2" s="24" t="s">
        <v>23</v>
      </c>
      <c r="M2" s="7" t="s">
        <v>258</v>
      </c>
      <c r="N2" s="7" t="s">
        <v>89</v>
      </c>
      <c r="O2" s="25" t="s">
        <v>259</v>
      </c>
      <c r="P2" s="25" t="s">
        <v>260</v>
      </c>
      <c r="Q2" s="25" t="s">
        <v>261</v>
      </c>
    </row>
    <row r="3" spans="1:17" ht="69.5" customHeight="1" x14ac:dyDescent="0.35">
      <c r="A3" s="4">
        <v>1</v>
      </c>
      <c r="B3" s="5" t="s">
        <v>17</v>
      </c>
      <c r="C3" s="5" t="s">
        <v>18</v>
      </c>
      <c r="D3" s="6" t="s">
        <v>19</v>
      </c>
      <c r="E3" s="6" t="s">
        <v>20</v>
      </c>
      <c r="F3" s="4">
        <v>5</v>
      </c>
      <c r="G3" s="4">
        <v>2</v>
      </c>
      <c r="H3" s="4">
        <f>F3+G3</f>
        <v>7</v>
      </c>
      <c r="I3" s="4">
        <v>3</v>
      </c>
      <c r="J3" s="5" t="s">
        <v>21</v>
      </c>
      <c r="K3" s="5" t="s">
        <v>22</v>
      </c>
      <c r="L3" s="5" t="s">
        <v>23</v>
      </c>
      <c r="M3" s="7" t="s">
        <v>24</v>
      </c>
      <c r="N3" s="7" t="s">
        <v>25</v>
      </c>
      <c r="O3" s="6" t="s">
        <v>26</v>
      </c>
      <c r="P3" s="6" t="s">
        <v>27</v>
      </c>
      <c r="Q3" s="6" t="s">
        <v>28</v>
      </c>
    </row>
    <row r="4" spans="1:17" ht="51.75" customHeight="1" x14ac:dyDescent="0.35">
      <c r="A4" s="11">
        <v>27</v>
      </c>
      <c r="B4" s="12" t="s">
        <v>120</v>
      </c>
      <c r="C4" s="12" t="s">
        <v>121</v>
      </c>
      <c r="D4" s="13" t="s">
        <v>128</v>
      </c>
      <c r="E4" s="13" t="s">
        <v>129</v>
      </c>
      <c r="F4" s="11">
        <v>4</v>
      </c>
      <c r="G4" s="11">
        <v>4</v>
      </c>
      <c r="H4" s="11">
        <f>F4+G4</f>
        <v>8</v>
      </c>
      <c r="I4" s="11">
        <v>1</v>
      </c>
      <c r="J4" s="12" t="s">
        <v>38</v>
      </c>
      <c r="K4" s="12" t="s">
        <v>32</v>
      </c>
      <c r="L4" s="12" t="s">
        <v>23</v>
      </c>
      <c r="M4" s="7" t="s">
        <v>24</v>
      </c>
      <c r="N4" s="7" t="s">
        <v>130</v>
      </c>
      <c r="O4" s="13" t="s">
        <v>131</v>
      </c>
      <c r="P4" s="13" t="s">
        <v>132</v>
      </c>
      <c r="Q4" s="13" t="s">
        <v>133</v>
      </c>
    </row>
    <row r="5" spans="1:17" ht="51.75" customHeight="1" x14ac:dyDescent="0.35">
      <c r="A5" s="20">
        <v>51</v>
      </c>
      <c r="B5" s="21" t="s">
        <v>201</v>
      </c>
      <c r="C5" s="21" t="s">
        <v>208</v>
      </c>
      <c r="D5" s="22" t="s">
        <v>209</v>
      </c>
      <c r="E5" s="22" t="s">
        <v>210</v>
      </c>
      <c r="F5" s="20">
        <v>5</v>
      </c>
      <c r="G5" s="20">
        <v>4</v>
      </c>
      <c r="H5" s="20">
        <f>F5+G5</f>
        <v>9</v>
      </c>
      <c r="I5" s="20">
        <v>1</v>
      </c>
      <c r="J5" s="21" t="s">
        <v>87</v>
      </c>
      <c r="K5" s="21" t="s">
        <v>22</v>
      </c>
      <c r="L5" s="21" t="s">
        <v>23</v>
      </c>
      <c r="M5" s="7" t="s">
        <v>24</v>
      </c>
      <c r="N5" s="7" t="s">
        <v>211</v>
      </c>
      <c r="O5" s="22" t="s">
        <v>212</v>
      </c>
      <c r="P5" s="22" t="s">
        <v>213</v>
      </c>
      <c r="Q5" s="22" t="s">
        <v>214</v>
      </c>
    </row>
    <row r="6" spans="1:17" ht="51.75" customHeight="1" x14ac:dyDescent="0.35">
      <c r="A6" s="8">
        <v>17</v>
      </c>
      <c r="B6" s="9" t="s">
        <v>34</v>
      </c>
      <c r="C6" s="9" t="s">
        <v>93</v>
      </c>
      <c r="D6" s="10" t="s">
        <v>94</v>
      </c>
      <c r="E6" s="10" t="s">
        <v>95</v>
      </c>
      <c r="F6" s="8">
        <v>3</v>
      </c>
      <c r="G6" s="8">
        <v>5</v>
      </c>
      <c r="H6" s="8">
        <f>F6+G6</f>
        <v>8</v>
      </c>
      <c r="I6" s="8">
        <v>1</v>
      </c>
      <c r="J6" s="9" t="s">
        <v>38</v>
      </c>
      <c r="K6" s="9" t="s">
        <v>32</v>
      </c>
      <c r="L6" s="9" t="s">
        <v>23</v>
      </c>
      <c r="M6" s="7" t="s">
        <v>96</v>
      </c>
      <c r="N6" s="7" t="s">
        <v>46</v>
      </c>
      <c r="O6" s="10" t="s">
        <v>97</v>
      </c>
      <c r="P6" s="10" t="s">
        <v>98</v>
      </c>
      <c r="Q6" s="10" t="s">
        <v>99</v>
      </c>
    </row>
    <row r="7" spans="1:17" ht="51.75" customHeight="1" x14ac:dyDescent="0.35">
      <c r="A7" s="20">
        <v>52</v>
      </c>
      <c r="B7" s="21" t="s">
        <v>201</v>
      </c>
      <c r="C7" s="21" t="s">
        <v>215</v>
      </c>
      <c r="D7" s="22" t="s">
        <v>216</v>
      </c>
      <c r="E7" s="22" t="s">
        <v>217</v>
      </c>
      <c r="F7" s="20">
        <v>5</v>
      </c>
      <c r="G7" s="20">
        <v>2</v>
      </c>
      <c r="H7" s="20">
        <f>F7+G7</f>
        <v>7</v>
      </c>
      <c r="I7" s="20">
        <v>1</v>
      </c>
      <c r="J7" s="21" t="s">
        <v>38</v>
      </c>
      <c r="K7" s="21" t="s">
        <v>32</v>
      </c>
      <c r="L7" s="21" t="s">
        <v>23</v>
      </c>
      <c r="M7" s="7" t="s">
        <v>96</v>
      </c>
      <c r="N7" s="7" t="s">
        <v>211</v>
      </c>
      <c r="O7" s="22" t="s">
        <v>218</v>
      </c>
      <c r="P7" s="22" t="s">
        <v>219</v>
      </c>
      <c r="Q7" s="22" t="s">
        <v>220</v>
      </c>
    </row>
    <row r="8" spans="1:17" ht="51.75" customHeight="1" x14ac:dyDescent="0.35">
      <c r="A8" s="23">
        <v>55</v>
      </c>
      <c r="B8" s="24" t="s">
        <v>230</v>
      </c>
      <c r="C8" s="24" t="s">
        <v>58</v>
      </c>
      <c r="D8" s="25" t="s">
        <v>231</v>
      </c>
      <c r="E8" s="25" t="s">
        <v>232</v>
      </c>
      <c r="F8" s="23">
        <v>4</v>
      </c>
      <c r="G8" s="23">
        <v>3</v>
      </c>
      <c r="H8" s="23">
        <f>F8+G8</f>
        <v>7</v>
      </c>
      <c r="I8" s="23">
        <v>1</v>
      </c>
      <c r="J8" s="24" t="s">
        <v>57</v>
      </c>
      <c r="K8" s="24" t="s">
        <v>22</v>
      </c>
      <c r="L8" s="24" t="s">
        <v>58</v>
      </c>
      <c r="M8" s="7" t="s">
        <v>96</v>
      </c>
      <c r="N8" s="7" t="s">
        <v>25</v>
      </c>
      <c r="O8" s="25" t="s">
        <v>233</v>
      </c>
      <c r="P8" s="25" t="s">
        <v>234</v>
      </c>
      <c r="Q8" s="25" t="s">
        <v>235</v>
      </c>
    </row>
    <row r="9" spans="1:17" ht="51.75" customHeight="1" x14ac:dyDescent="0.35">
      <c r="A9" s="8">
        <v>7</v>
      </c>
      <c r="B9" s="9" t="s">
        <v>34</v>
      </c>
      <c r="C9" s="9" t="s">
        <v>54</v>
      </c>
      <c r="D9" s="10" t="s">
        <v>55</v>
      </c>
      <c r="E9" s="10" t="s">
        <v>56</v>
      </c>
      <c r="F9" s="8">
        <v>3</v>
      </c>
      <c r="G9" s="8">
        <v>5</v>
      </c>
      <c r="H9" s="8">
        <f>F9+G9</f>
        <v>8</v>
      </c>
      <c r="I9" s="8">
        <v>1</v>
      </c>
      <c r="J9" s="9" t="s">
        <v>57</v>
      </c>
      <c r="K9" s="9" t="s">
        <v>22</v>
      </c>
      <c r="L9" s="9" t="s">
        <v>58</v>
      </c>
      <c r="M9" s="7" t="s">
        <v>59</v>
      </c>
      <c r="N9" s="7" t="s">
        <v>25</v>
      </c>
      <c r="O9" s="10" t="s">
        <v>60</v>
      </c>
      <c r="P9" s="10" t="s">
        <v>61</v>
      </c>
      <c r="Q9" s="10" t="s">
        <v>62</v>
      </c>
    </row>
    <row r="10" spans="1:17" ht="51.75" customHeight="1" x14ac:dyDescent="0.35">
      <c r="A10" s="11">
        <v>31</v>
      </c>
      <c r="B10" s="12" t="s">
        <v>120</v>
      </c>
      <c r="C10" s="12" t="s">
        <v>121</v>
      </c>
      <c r="D10" s="13" t="s">
        <v>141</v>
      </c>
      <c r="E10" s="13" t="s">
        <v>142</v>
      </c>
      <c r="F10" s="11">
        <v>4</v>
      </c>
      <c r="G10" s="11">
        <v>3</v>
      </c>
      <c r="H10" s="11">
        <f>F10+G10</f>
        <v>7</v>
      </c>
      <c r="I10" s="11">
        <v>1</v>
      </c>
      <c r="J10" s="12" t="s">
        <v>38</v>
      </c>
      <c r="K10" s="12" t="s">
        <v>32</v>
      </c>
      <c r="L10" s="12" t="s">
        <v>23</v>
      </c>
      <c r="M10" s="7" t="s">
        <v>59</v>
      </c>
      <c r="N10" s="7" t="s">
        <v>130</v>
      </c>
      <c r="O10" s="13" t="s">
        <v>143</v>
      </c>
      <c r="P10" s="13" t="s">
        <v>144</v>
      </c>
      <c r="Q10" s="13" t="s">
        <v>145</v>
      </c>
    </row>
    <row r="11" spans="1:17" ht="51.75" customHeight="1" x14ac:dyDescent="0.35">
      <c r="A11" s="23">
        <v>66</v>
      </c>
      <c r="B11" s="24" t="s">
        <v>230</v>
      </c>
      <c r="C11" s="24" t="s">
        <v>254</v>
      </c>
      <c r="D11" s="25" t="s">
        <v>264</v>
      </c>
      <c r="E11" s="25" t="s">
        <v>265</v>
      </c>
      <c r="F11" s="23">
        <v>4</v>
      </c>
      <c r="G11" s="23">
        <v>4</v>
      </c>
      <c r="H11" s="23">
        <f>F11+G11</f>
        <v>8</v>
      </c>
      <c r="I11" s="23">
        <v>2</v>
      </c>
      <c r="J11" s="24" t="s">
        <v>257</v>
      </c>
      <c r="K11" s="24" t="s">
        <v>22</v>
      </c>
      <c r="L11" s="24" t="s">
        <v>23</v>
      </c>
      <c r="M11" s="7" t="s">
        <v>59</v>
      </c>
      <c r="N11" s="7" t="s">
        <v>119</v>
      </c>
      <c r="O11" s="25"/>
      <c r="P11" s="25"/>
      <c r="Q11" s="25"/>
    </row>
    <row r="12" spans="1:17" ht="51.75" customHeight="1" x14ac:dyDescent="0.35">
      <c r="A12" s="14">
        <v>38</v>
      </c>
      <c r="B12" s="15" t="s">
        <v>157</v>
      </c>
      <c r="C12" s="15" t="s">
        <v>164</v>
      </c>
      <c r="D12" s="16" t="s">
        <v>165</v>
      </c>
      <c r="E12" s="16" t="s">
        <v>166</v>
      </c>
      <c r="F12" s="14">
        <v>2</v>
      </c>
      <c r="G12" s="14">
        <v>5</v>
      </c>
      <c r="H12" s="14">
        <f>F12+G12</f>
        <v>7</v>
      </c>
      <c r="I12" s="14">
        <v>1</v>
      </c>
      <c r="J12" s="15" t="s">
        <v>57</v>
      </c>
      <c r="K12" s="15" t="s">
        <v>22</v>
      </c>
      <c r="L12" s="15" t="s">
        <v>58</v>
      </c>
      <c r="M12" s="7" t="s">
        <v>167</v>
      </c>
      <c r="N12" s="7" t="s">
        <v>46</v>
      </c>
      <c r="O12" s="16"/>
      <c r="P12" s="16"/>
      <c r="Q12" s="16"/>
    </row>
    <row r="13" spans="1:17" ht="51.75" customHeight="1" x14ac:dyDescent="0.35">
      <c r="A13" s="20">
        <v>53</v>
      </c>
      <c r="B13" s="21" t="s">
        <v>201</v>
      </c>
      <c r="C13" s="21" t="s">
        <v>221</v>
      </c>
      <c r="D13" s="22" t="s">
        <v>222</v>
      </c>
      <c r="E13" s="22" t="s">
        <v>223</v>
      </c>
      <c r="F13" s="20">
        <v>5</v>
      </c>
      <c r="G13" s="20">
        <v>4</v>
      </c>
      <c r="H13" s="20">
        <f>F13+G13</f>
        <v>9</v>
      </c>
      <c r="I13" s="20">
        <v>2</v>
      </c>
      <c r="J13" s="21" t="s">
        <v>224</v>
      </c>
      <c r="K13" s="21" t="s">
        <v>22</v>
      </c>
      <c r="L13" s="21" t="s">
        <v>23</v>
      </c>
      <c r="M13" s="7" t="s">
        <v>167</v>
      </c>
      <c r="N13" s="7" t="s">
        <v>211</v>
      </c>
      <c r="O13" s="22"/>
      <c r="P13" s="22"/>
      <c r="Q13" s="22"/>
    </row>
    <row r="14" spans="1:17" ht="51.75" customHeight="1" x14ac:dyDescent="0.35">
      <c r="A14" s="23">
        <v>67</v>
      </c>
      <c r="B14" s="24" t="s">
        <v>230</v>
      </c>
      <c r="C14" s="24" t="s">
        <v>254</v>
      </c>
      <c r="D14" s="25" t="s">
        <v>266</v>
      </c>
      <c r="E14" s="25" t="s">
        <v>267</v>
      </c>
      <c r="F14" s="23">
        <v>4</v>
      </c>
      <c r="G14" s="23">
        <v>4</v>
      </c>
      <c r="H14" s="23">
        <f>F14+G14</f>
        <v>8</v>
      </c>
      <c r="I14" s="23">
        <v>2</v>
      </c>
      <c r="J14" s="24" t="s">
        <v>257</v>
      </c>
      <c r="K14" s="24" t="s">
        <v>22</v>
      </c>
      <c r="L14" s="24" t="s">
        <v>23</v>
      </c>
      <c r="M14" s="7" t="s">
        <v>167</v>
      </c>
      <c r="N14" s="7" t="s">
        <v>25</v>
      </c>
      <c r="O14" s="25"/>
      <c r="P14" s="25"/>
      <c r="Q14" s="25"/>
    </row>
    <row r="15" spans="1:17" ht="51.75" customHeight="1" x14ac:dyDescent="0.35">
      <c r="A15" s="17">
        <v>44</v>
      </c>
      <c r="B15" s="18" t="s">
        <v>185</v>
      </c>
      <c r="C15" s="18" t="s">
        <v>186</v>
      </c>
      <c r="D15" s="19" t="s">
        <v>187</v>
      </c>
      <c r="E15" s="19" t="s">
        <v>188</v>
      </c>
      <c r="F15" s="17">
        <v>5</v>
      </c>
      <c r="G15" s="17">
        <v>5</v>
      </c>
      <c r="H15" s="17">
        <f>F15+G15</f>
        <v>10</v>
      </c>
      <c r="I15" s="17">
        <v>4</v>
      </c>
      <c r="J15" s="18" t="s">
        <v>163</v>
      </c>
      <c r="K15" s="18" t="s">
        <v>22</v>
      </c>
      <c r="L15" s="18" t="s">
        <v>23</v>
      </c>
      <c r="M15" s="7" t="s">
        <v>189</v>
      </c>
      <c r="N15" s="7" t="s">
        <v>190</v>
      </c>
      <c r="O15" s="19"/>
      <c r="P15" s="19"/>
      <c r="Q15" s="19"/>
    </row>
    <row r="16" spans="1:17" ht="51.75" customHeight="1" x14ac:dyDescent="0.35">
      <c r="A16" s="23">
        <v>56</v>
      </c>
      <c r="B16" s="24" t="s">
        <v>230</v>
      </c>
      <c r="C16" s="24" t="s">
        <v>58</v>
      </c>
      <c r="D16" s="25" t="s">
        <v>236</v>
      </c>
      <c r="E16" s="25" t="s">
        <v>232</v>
      </c>
      <c r="F16" s="23">
        <v>4</v>
      </c>
      <c r="G16" s="23">
        <v>3</v>
      </c>
      <c r="H16" s="23">
        <f>F16+G16</f>
        <v>7</v>
      </c>
      <c r="I16" s="23">
        <v>1</v>
      </c>
      <c r="J16" s="24" t="s">
        <v>57</v>
      </c>
      <c r="K16" s="24" t="s">
        <v>22</v>
      </c>
      <c r="L16" s="24" t="s">
        <v>58</v>
      </c>
      <c r="M16" s="7" t="s">
        <v>189</v>
      </c>
      <c r="N16" s="7" t="s">
        <v>46</v>
      </c>
      <c r="O16" s="25"/>
      <c r="P16" s="25"/>
      <c r="Q16" s="25"/>
    </row>
    <row r="17" spans="1:17" ht="51.75" customHeight="1" x14ac:dyDescent="0.35">
      <c r="A17" s="20">
        <v>54</v>
      </c>
      <c r="B17" s="21" t="s">
        <v>201</v>
      </c>
      <c r="C17" s="21" t="s">
        <v>225</v>
      </c>
      <c r="D17" s="22" t="s">
        <v>226</v>
      </c>
      <c r="E17" s="22" t="s">
        <v>227</v>
      </c>
      <c r="F17" s="20">
        <v>5</v>
      </c>
      <c r="G17" s="20">
        <v>3</v>
      </c>
      <c r="H17" s="20">
        <f>F17+G17</f>
        <v>8</v>
      </c>
      <c r="I17" s="20">
        <v>3</v>
      </c>
      <c r="J17" s="21" t="s">
        <v>228</v>
      </c>
      <c r="K17" s="21" t="s">
        <v>22</v>
      </c>
      <c r="L17" s="21" t="s">
        <v>23</v>
      </c>
      <c r="M17" s="7" t="s">
        <v>229</v>
      </c>
      <c r="N17" s="7" t="s">
        <v>25</v>
      </c>
      <c r="O17" s="22"/>
      <c r="P17" s="22"/>
      <c r="Q17" s="22"/>
    </row>
    <row r="18" spans="1:17" ht="51.75" customHeight="1" x14ac:dyDescent="0.35">
      <c r="A18" s="23">
        <v>65</v>
      </c>
      <c r="B18" s="24" t="s">
        <v>230</v>
      </c>
      <c r="C18" s="24" t="s">
        <v>254</v>
      </c>
      <c r="D18" s="25" t="s">
        <v>262</v>
      </c>
      <c r="E18" s="25" t="s">
        <v>263</v>
      </c>
      <c r="F18" s="23">
        <v>4</v>
      </c>
      <c r="G18" s="23">
        <v>5</v>
      </c>
      <c r="H18" s="23">
        <f>F18+G18</f>
        <v>9</v>
      </c>
      <c r="I18" s="23">
        <v>2</v>
      </c>
      <c r="J18" s="24" t="s">
        <v>257</v>
      </c>
      <c r="K18" s="24" t="s">
        <v>22</v>
      </c>
      <c r="L18" s="24" t="s">
        <v>23</v>
      </c>
      <c r="M18" s="7" t="s">
        <v>229</v>
      </c>
      <c r="N18" s="7" t="s">
        <v>119</v>
      </c>
      <c r="O18" s="25"/>
      <c r="P18" s="25"/>
      <c r="Q18" s="25"/>
    </row>
    <row r="19" spans="1:17" ht="51.75" customHeight="1" x14ac:dyDescent="0.35">
      <c r="A19" s="8">
        <v>21</v>
      </c>
      <c r="B19" s="9" t="s">
        <v>34</v>
      </c>
      <c r="C19" s="9" t="s">
        <v>93</v>
      </c>
      <c r="D19" s="10" t="s">
        <v>108</v>
      </c>
      <c r="E19" s="10" t="s">
        <v>109</v>
      </c>
      <c r="F19" s="8">
        <v>3</v>
      </c>
      <c r="G19" s="8">
        <v>5</v>
      </c>
      <c r="H19" s="8">
        <f>F19+G19</f>
        <v>8</v>
      </c>
      <c r="I19" s="8">
        <v>1</v>
      </c>
      <c r="J19" s="9" t="s">
        <v>38</v>
      </c>
      <c r="K19" s="9" t="s">
        <v>32</v>
      </c>
      <c r="L19" s="9" t="s">
        <v>23</v>
      </c>
      <c r="M19" s="7" t="s">
        <v>110</v>
      </c>
      <c r="N19" s="7" t="s">
        <v>111</v>
      </c>
      <c r="O19" s="10"/>
      <c r="P19" s="10"/>
      <c r="Q19" s="10"/>
    </row>
    <row r="20" spans="1:17" ht="51.75" customHeight="1" x14ac:dyDescent="0.35">
      <c r="A20" s="17">
        <v>45</v>
      </c>
      <c r="B20" s="18" t="s">
        <v>185</v>
      </c>
      <c r="C20" s="18" t="s">
        <v>186</v>
      </c>
      <c r="D20" s="19" t="s">
        <v>191</v>
      </c>
      <c r="E20" s="19" t="s">
        <v>192</v>
      </c>
      <c r="F20" s="17">
        <v>5</v>
      </c>
      <c r="G20" s="17">
        <v>4</v>
      </c>
      <c r="H20" s="17">
        <f>F20+G20</f>
        <v>9</v>
      </c>
      <c r="I20" s="17">
        <v>2</v>
      </c>
      <c r="J20" s="18" t="s">
        <v>87</v>
      </c>
      <c r="K20" s="18" t="s">
        <v>22</v>
      </c>
      <c r="L20" s="18" t="s">
        <v>23</v>
      </c>
      <c r="M20" s="7" t="s">
        <v>110</v>
      </c>
      <c r="N20" s="7" t="s">
        <v>25</v>
      </c>
      <c r="O20" s="19"/>
      <c r="P20" s="19"/>
      <c r="Q20" s="19"/>
    </row>
    <row r="21" spans="1:17" ht="51.75" customHeight="1" x14ac:dyDescent="0.35">
      <c r="A21" s="11">
        <v>25</v>
      </c>
      <c r="B21" s="12" t="s">
        <v>120</v>
      </c>
      <c r="C21" s="12" t="s">
        <v>121</v>
      </c>
      <c r="D21" s="13" t="s">
        <v>122</v>
      </c>
      <c r="E21" s="13" t="s">
        <v>123</v>
      </c>
      <c r="F21" s="11">
        <v>4</v>
      </c>
      <c r="G21" s="11">
        <v>5</v>
      </c>
      <c r="H21" s="11">
        <f>F21+G21</f>
        <v>9</v>
      </c>
      <c r="I21" s="11">
        <v>1</v>
      </c>
      <c r="J21" s="12" t="s">
        <v>38</v>
      </c>
      <c r="K21" s="12" t="s">
        <v>32</v>
      </c>
      <c r="L21" s="12" t="s">
        <v>23</v>
      </c>
      <c r="M21" s="7" t="s">
        <v>124</v>
      </c>
      <c r="N21" s="7" t="s">
        <v>89</v>
      </c>
      <c r="O21" s="13"/>
      <c r="P21" s="13"/>
      <c r="Q21" s="13"/>
    </row>
    <row r="22" spans="1:17" ht="51.75" customHeight="1" x14ac:dyDescent="0.35">
      <c r="A22" s="23">
        <v>57</v>
      </c>
      <c r="B22" s="24" t="s">
        <v>230</v>
      </c>
      <c r="C22" s="24" t="s">
        <v>58</v>
      </c>
      <c r="D22" s="25" t="s">
        <v>237</v>
      </c>
      <c r="E22" s="25" t="s">
        <v>232</v>
      </c>
      <c r="F22" s="23">
        <v>4</v>
      </c>
      <c r="G22" s="23">
        <v>3</v>
      </c>
      <c r="H22" s="23">
        <f>F22+G22</f>
        <v>7</v>
      </c>
      <c r="I22" s="23">
        <v>1</v>
      </c>
      <c r="J22" s="24" t="s">
        <v>57</v>
      </c>
      <c r="K22" s="24" t="s">
        <v>22</v>
      </c>
      <c r="L22" s="24" t="s">
        <v>58</v>
      </c>
      <c r="M22" s="7" t="s">
        <v>124</v>
      </c>
      <c r="N22" s="7" t="s">
        <v>25</v>
      </c>
      <c r="O22" s="25"/>
      <c r="P22" s="25"/>
      <c r="Q22" s="25"/>
    </row>
    <row r="23" spans="1:17" ht="51.75" customHeight="1" x14ac:dyDescent="0.35">
      <c r="A23" s="8">
        <v>5</v>
      </c>
      <c r="B23" s="9" t="s">
        <v>34</v>
      </c>
      <c r="C23" s="9" t="s">
        <v>40</v>
      </c>
      <c r="D23" s="10" t="s">
        <v>47</v>
      </c>
      <c r="E23" s="10" t="s">
        <v>48</v>
      </c>
      <c r="F23" s="8">
        <v>3</v>
      </c>
      <c r="G23" s="8">
        <v>4</v>
      </c>
      <c r="H23" s="8">
        <f>F23+G23</f>
        <v>7</v>
      </c>
      <c r="I23" s="8">
        <v>2</v>
      </c>
      <c r="J23" s="9" t="s">
        <v>38</v>
      </c>
      <c r="K23" s="9" t="s">
        <v>32</v>
      </c>
      <c r="L23" s="9" t="s">
        <v>23</v>
      </c>
      <c r="M23" s="7" t="s">
        <v>49</v>
      </c>
      <c r="N23" s="7" t="s">
        <v>25</v>
      </c>
      <c r="O23" s="10"/>
      <c r="P23" s="10"/>
      <c r="Q23" s="10"/>
    </row>
    <row r="24" spans="1:17" ht="51.75" customHeight="1" x14ac:dyDescent="0.35">
      <c r="A24" s="8">
        <v>19</v>
      </c>
      <c r="B24" s="9" t="s">
        <v>34</v>
      </c>
      <c r="C24" s="9" t="s">
        <v>93</v>
      </c>
      <c r="D24" s="10" t="s">
        <v>103</v>
      </c>
      <c r="E24" s="10" t="s">
        <v>104</v>
      </c>
      <c r="F24" s="8">
        <v>3</v>
      </c>
      <c r="G24" s="8">
        <v>4</v>
      </c>
      <c r="H24" s="8">
        <f>F24+G24</f>
        <v>7</v>
      </c>
      <c r="I24" s="8">
        <v>1</v>
      </c>
      <c r="J24" s="9" t="s">
        <v>38</v>
      </c>
      <c r="K24" s="9" t="s">
        <v>32</v>
      </c>
      <c r="L24" s="9" t="s">
        <v>23</v>
      </c>
      <c r="M24" s="7" t="s">
        <v>49</v>
      </c>
      <c r="N24" s="7" t="s">
        <v>46</v>
      </c>
      <c r="O24" s="10"/>
      <c r="P24" s="10"/>
      <c r="Q24" s="10"/>
    </row>
    <row r="25" spans="1:17" ht="51.75" customHeight="1" x14ac:dyDescent="0.35">
      <c r="A25" s="8">
        <v>18</v>
      </c>
      <c r="B25" s="9" t="s">
        <v>34</v>
      </c>
      <c r="C25" s="9" t="s">
        <v>93</v>
      </c>
      <c r="D25" s="10" t="s">
        <v>100</v>
      </c>
      <c r="E25" s="10" t="s">
        <v>101</v>
      </c>
      <c r="F25" s="8">
        <v>3</v>
      </c>
      <c r="G25" s="8">
        <v>5</v>
      </c>
      <c r="H25" s="8">
        <f>F25+G25</f>
        <v>8</v>
      </c>
      <c r="I25" s="8">
        <v>1</v>
      </c>
      <c r="J25" s="9" t="s">
        <v>38</v>
      </c>
      <c r="K25" s="9" t="s">
        <v>32</v>
      </c>
      <c r="L25" s="9" t="s">
        <v>23</v>
      </c>
      <c r="M25" s="7" t="s">
        <v>102</v>
      </c>
      <c r="N25" s="7" t="s">
        <v>89</v>
      </c>
      <c r="O25" s="10"/>
      <c r="P25" s="10"/>
      <c r="Q25" s="10"/>
    </row>
    <row r="26" spans="1:17" ht="51.75" customHeight="1" x14ac:dyDescent="0.35">
      <c r="A26" s="23">
        <v>63</v>
      </c>
      <c r="B26" s="24" t="s">
        <v>230</v>
      </c>
      <c r="C26" s="24" t="s">
        <v>250</v>
      </c>
      <c r="D26" s="25" t="s">
        <v>251</v>
      </c>
      <c r="E26" s="25" t="s">
        <v>252</v>
      </c>
      <c r="F26" s="23">
        <v>4</v>
      </c>
      <c r="G26" s="23">
        <v>5</v>
      </c>
      <c r="H26" s="23">
        <f>F26+G26</f>
        <v>9</v>
      </c>
      <c r="I26" s="23">
        <v>1</v>
      </c>
      <c r="J26" s="24" t="s">
        <v>57</v>
      </c>
      <c r="K26" s="24" t="s">
        <v>22</v>
      </c>
      <c r="L26" s="24" t="s">
        <v>58</v>
      </c>
      <c r="M26" s="7" t="s">
        <v>102</v>
      </c>
      <c r="N26" s="7" t="s">
        <v>253</v>
      </c>
      <c r="O26" s="25"/>
      <c r="P26" s="25"/>
      <c r="Q26" s="25"/>
    </row>
    <row r="27" spans="1:17" ht="51.75" customHeight="1" x14ac:dyDescent="0.35">
      <c r="A27" s="8">
        <v>8</v>
      </c>
      <c r="B27" s="9" t="s">
        <v>34</v>
      </c>
      <c r="C27" s="9" t="s">
        <v>63</v>
      </c>
      <c r="D27" s="10" t="s">
        <v>64</v>
      </c>
      <c r="E27" s="10" t="s">
        <v>65</v>
      </c>
      <c r="F27" s="8">
        <v>5</v>
      </c>
      <c r="G27" s="8">
        <v>4</v>
      </c>
      <c r="H27" s="8">
        <f>F27+G27</f>
        <v>9</v>
      </c>
      <c r="I27" s="8">
        <v>1</v>
      </c>
      <c r="J27" s="9" t="s">
        <v>43</v>
      </c>
      <c r="K27" s="9" t="s">
        <v>22</v>
      </c>
      <c r="L27" s="9" t="s">
        <v>23</v>
      </c>
      <c r="M27" s="7" t="s">
        <v>66</v>
      </c>
      <c r="N27" s="7" t="s">
        <v>25</v>
      </c>
      <c r="O27" s="10"/>
      <c r="P27" s="10"/>
      <c r="Q27" s="10"/>
    </row>
    <row r="28" spans="1:17" ht="51.75" customHeight="1" x14ac:dyDescent="0.35">
      <c r="A28" s="8">
        <v>24</v>
      </c>
      <c r="B28" s="9" t="s">
        <v>34</v>
      </c>
      <c r="C28" s="9" t="s">
        <v>93</v>
      </c>
      <c r="D28" s="10" t="s">
        <v>117</v>
      </c>
      <c r="E28" s="10" t="s">
        <v>118</v>
      </c>
      <c r="F28" s="8">
        <v>3</v>
      </c>
      <c r="G28" s="8">
        <v>4</v>
      </c>
      <c r="H28" s="8">
        <f>F28+G28</f>
        <v>7</v>
      </c>
      <c r="I28" s="8">
        <v>1</v>
      </c>
      <c r="J28" s="9" t="s">
        <v>38</v>
      </c>
      <c r="K28" s="9" t="s">
        <v>32</v>
      </c>
      <c r="L28" s="9" t="s">
        <v>23</v>
      </c>
      <c r="M28" s="7" t="s">
        <v>66</v>
      </c>
      <c r="N28" s="7" t="s">
        <v>119</v>
      </c>
      <c r="O28" s="10"/>
      <c r="P28" s="10"/>
      <c r="Q28" s="10"/>
    </row>
    <row r="29" spans="1:17" ht="51.75" customHeight="1" x14ac:dyDescent="0.35">
      <c r="A29" s="11">
        <v>30</v>
      </c>
      <c r="B29" s="12" t="s">
        <v>120</v>
      </c>
      <c r="C29" s="12" t="s">
        <v>121</v>
      </c>
      <c r="D29" s="13" t="s">
        <v>138</v>
      </c>
      <c r="E29" s="13" t="s">
        <v>139</v>
      </c>
      <c r="F29" s="11">
        <v>4</v>
      </c>
      <c r="G29" s="11">
        <v>3</v>
      </c>
      <c r="H29" s="11">
        <f>F29+G29</f>
        <v>7</v>
      </c>
      <c r="I29" s="11">
        <v>1</v>
      </c>
      <c r="J29" s="12" t="s">
        <v>38</v>
      </c>
      <c r="K29" s="12" t="s">
        <v>32</v>
      </c>
      <c r="L29" s="12" t="s">
        <v>23</v>
      </c>
      <c r="M29" s="7" t="s">
        <v>140</v>
      </c>
      <c r="N29" s="7" t="s">
        <v>46</v>
      </c>
      <c r="O29" s="13"/>
      <c r="P29" s="13"/>
      <c r="Q29" s="13"/>
    </row>
    <row r="30" spans="1:17" ht="51.75" customHeight="1" x14ac:dyDescent="0.35">
      <c r="A30" s="17">
        <v>46</v>
      </c>
      <c r="B30" s="18" t="s">
        <v>185</v>
      </c>
      <c r="C30" s="18" t="s">
        <v>186</v>
      </c>
      <c r="D30" s="19" t="s">
        <v>193</v>
      </c>
      <c r="E30" s="19" t="s">
        <v>194</v>
      </c>
      <c r="F30" s="17">
        <v>5</v>
      </c>
      <c r="G30" s="17">
        <v>5</v>
      </c>
      <c r="H30" s="17">
        <f>F30+G30</f>
        <v>10</v>
      </c>
      <c r="I30" s="17">
        <v>4</v>
      </c>
      <c r="J30" s="18" t="s">
        <v>163</v>
      </c>
      <c r="K30" s="18" t="s">
        <v>22</v>
      </c>
      <c r="L30" s="18" t="s">
        <v>23</v>
      </c>
      <c r="M30" s="7" t="s">
        <v>140</v>
      </c>
      <c r="N30" s="7" t="s">
        <v>190</v>
      </c>
      <c r="O30" s="19"/>
      <c r="P30" s="19"/>
      <c r="Q30" s="19"/>
    </row>
    <row r="31" spans="1:17" ht="51.75" customHeight="1" x14ac:dyDescent="0.35">
      <c r="A31" s="8">
        <v>4</v>
      </c>
      <c r="B31" s="9" t="s">
        <v>34</v>
      </c>
      <c r="C31" s="9" t="s">
        <v>40</v>
      </c>
      <c r="D31" s="10" t="s">
        <v>41</v>
      </c>
      <c r="E31" s="10" t="s">
        <v>42</v>
      </c>
      <c r="F31" s="8">
        <v>3</v>
      </c>
      <c r="G31" s="8">
        <v>5</v>
      </c>
      <c r="H31" s="8">
        <f>F31+G31</f>
        <v>8</v>
      </c>
      <c r="I31" s="8">
        <v>1</v>
      </c>
      <c r="J31" s="9" t="s">
        <v>43</v>
      </c>
      <c r="K31" s="9" t="s">
        <v>44</v>
      </c>
      <c r="L31" s="9" t="s">
        <v>23</v>
      </c>
      <c r="M31" s="7" t="s">
        <v>45</v>
      </c>
      <c r="N31" s="7" t="s">
        <v>46</v>
      </c>
      <c r="O31" s="10"/>
      <c r="P31" s="10"/>
      <c r="Q31" s="10"/>
    </row>
    <row r="32" spans="1:17" ht="51.75" customHeight="1" x14ac:dyDescent="0.35">
      <c r="A32" s="11">
        <v>29</v>
      </c>
      <c r="B32" s="12" t="s">
        <v>120</v>
      </c>
      <c r="C32" s="12" t="s">
        <v>121</v>
      </c>
      <c r="D32" s="13" t="s">
        <v>136</v>
      </c>
      <c r="E32" s="13" t="s">
        <v>137</v>
      </c>
      <c r="F32" s="11">
        <v>4</v>
      </c>
      <c r="G32" s="11">
        <v>3</v>
      </c>
      <c r="H32" s="11">
        <f>F32+G32</f>
        <v>7</v>
      </c>
      <c r="I32" s="11">
        <v>1</v>
      </c>
      <c r="J32" s="12" t="s">
        <v>38</v>
      </c>
      <c r="K32" s="12" t="s">
        <v>32</v>
      </c>
      <c r="L32" s="12" t="s">
        <v>23</v>
      </c>
      <c r="M32" s="7" t="s">
        <v>45</v>
      </c>
      <c r="N32" s="7" t="s">
        <v>25</v>
      </c>
      <c r="O32" s="13"/>
      <c r="P32" s="13"/>
      <c r="Q32" s="13"/>
    </row>
    <row r="33" spans="1:17" ht="51.75" customHeight="1" x14ac:dyDescent="0.35">
      <c r="A33" s="17">
        <v>47</v>
      </c>
      <c r="B33" s="18" t="s">
        <v>185</v>
      </c>
      <c r="C33" s="18" t="s">
        <v>186</v>
      </c>
      <c r="D33" s="19" t="s">
        <v>195</v>
      </c>
      <c r="E33" s="19" t="s">
        <v>196</v>
      </c>
      <c r="F33" s="17">
        <v>5</v>
      </c>
      <c r="G33" s="17">
        <v>4</v>
      </c>
      <c r="H33" s="17">
        <f>F33+G33</f>
        <v>9</v>
      </c>
      <c r="I33" s="17">
        <v>2</v>
      </c>
      <c r="J33" s="18" t="s">
        <v>87</v>
      </c>
      <c r="K33" s="18" t="s">
        <v>22</v>
      </c>
      <c r="L33" s="18" t="s">
        <v>23</v>
      </c>
      <c r="M33" s="7" t="s">
        <v>197</v>
      </c>
      <c r="N33" s="7" t="s">
        <v>25</v>
      </c>
      <c r="O33" s="19"/>
      <c r="P33" s="19"/>
      <c r="Q33" s="19"/>
    </row>
    <row r="34" spans="1:17" ht="51.75" customHeight="1" x14ac:dyDescent="0.35">
      <c r="A34" s="23">
        <v>58</v>
      </c>
      <c r="B34" s="24" t="s">
        <v>230</v>
      </c>
      <c r="C34" s="24" t="s">
        <v>238</v>
      </c>
      <c r="D34" s="25" t="s">
        <v>239</v>
      </c>
      <c r="E34" s="25" t="s">
        <v>240</v>
      </c>
      <c r="F34" s="23">
        <v>4</v>
      </c>
      <c r="G34" s="23">
        <v>3</v>
      </c>
      <c r="H34" s="23">
        <f>F34+G34</f>
        <v>7</v>
      </c>
      <c r="I34" s="23">
        <v>1</v>
      </c>
      <c r="J34" s="24" t="s">
        <v>87</v>
      </c>
      <c r="K34" s="24" t="s">
        <v>22</v>
      </c>
      <c r="L34" s="24" t="s">
        <v>23</v>
      </c>
      <c r="M34" s="7" t="s">
        <v>197</v>
      </c>
      <c r="N34" s="7" t="s">
        <v>46</v>
      </c>
      <c r="O34" s="25"/>
      <c r="P34" s="25"/>
      <c r="Q34" s="25"/>
    </row>
    <row r="35" spans="1:17" ht="51.75" customHeight="1" x14ac:dyDescent="0.35">
      <c r="A35" s="4">
        <v>2</v>
      </c>
      <c r="B35" s="5" t="s">
        <v>17</v>
      </c>
      <c r="C35" s="5" t="s">
        <v>29</v>
      </c>
      <c r="D35" s="6" t="s">
        <v>30</v>
      </c>
      <c r="E35" s="6" t="s">
        <v>31</v>
      </c>
      <c r="F35" s="4">
        <v>5</v>
      </c>
      <c r="G35" s="4">
        <v>3</v>
      </c>
      <c r="H35" s="4">
        <f>F35+G35</f>
        <v>8</v>
      </c>
      <c r="I35" s="4">
        <v>3</v>
      </c>
      <c r="J35" s="5" t="s">
        <v>21</v>
      </c>
      <c r="K35" s="5" t="s">
        <v>32</v>
      </c>
      <c r="L35" s="5" t="s">
        <v>23</v>
      </c>
      <c r="M35" s="7" t="s">
        <v>33</v>
      </c>
      <c r="N35" s="7" t="s">
        <v>25</v>
      </c>
      <c r="O35" s="6"/>
      <c r="P35" s="6"/>
      <c r="Q35" s="6"/>
    </row>
    <row r="36" spans="1:17" ht="51.75" customHeight="1" x14ac:dyDescent="0.35">
      <c r="A36" s="8">
        <v>16</v>
      </c>
      <c r="B36" s="9" t="s">
        <v>34</v>
      </c>
      <c r="C36" s="9" t="s">
        <v>90</v>
      </c>
      <c r="D36" s="10" t="s">
        <v>91</v>
      </c>
      <c r="E36" s="10" t="s">
        <v>92</v>
      </c>
      <c r="F36" s="8">
        <v>4</v>
      </c>
      <c r="G36" s="8">
        <v>4</v>
      </c>
      <c r="H36" s="8">
        <f>F36+G36</f>
        <v>8</v>
      </c>
      <c r="I36" s="8">
        <v>3</v>
      </c>
      <c r="J36" s="9" t="s">
        <v>21</v>
      </c>
      <c r="K36" s="9" t="s">
        <v>22</v>
      </c>
      <c r="L36" s="9" t="s">
        <v>23</v>
      </c>
      <c r="M36" s="7" t="s">
        <v>33</v>
      </c>
      <c r="N36" s="7" t="s">
        <v>46</v>
      </c>
      <c r="O36" s="10"/>
      <c r="P36" s="10"/>
      <c r="Q36" s="10"/>
    </row>
    <row r="37" spans="1:17" ht="51.75" customHeight="1" x14ac:dyDescent="0.35">
      <c r="A37" s="8">
        <v>22</v>
      </c>
      <c r="B37" s="9" t="s">
        <v>34</v>
      </c>
      <c r="C37" s="9" t="s">
        <v>93</v>
      </c>
      <c r="D37" s="10" t="s">
        <v>112</v>
      </c>
      <c r="E37" s="10" t="s">
        <v>113</v>
      </c>
      <c r="F37" s="8">
        <v>3</v>
      </c>
      <c r="G37" s="8">
        <v>4</v>
      </c>
      <c r="H37" s="8">
        <f>F37+G37</f>
        <v>7</v>
      </c>
      <c r="I37" s="8">
        <v>1</v>
      </c>
      <c r="J37" s="9" t="s">
        <v>38</v>
      </c>
      <c r="K37" s="9" t="s">
        <v>32</v>
      </c>
      <c r="L37" s="9" t="s">
        <v>23</v>
      </c>
      <c r="M37" s="7" t="s">
        <v>114</v>
      </c>
      <c r="N37" s="7" t="s">
        <v>46</v>
      </c>
      <c r="O37" s="10"/>
      <c r="P37" s="10"/>
      <c r="Q37" s="10"/>
    </row>
    <row r="38" spans="1:17" ht="51.75" customHeight="1" x14ac:dyDescent="0.35">
      <c r="A38" s="23">
        <v>59</v>
      </c>
      <c r="B38" s="24" t="s">
        <v>230</v>
      </c>
      <c r="C38" s="24" t="s">
        <v>238</v>
      </c>
      <c r="D38" s="25" t="s">
        <v>241</v>
      </c>
      <c r="E38" s="25" t="s">
        <v>240</v>
      </c>
      <c r="F38" s="23">
        <v>4</v>
      </c>
      <c r="G38" s="23">
        <v>3</v>
      </c>
      <c r="H38" s="23">
        <f>F38+G38</f>
        <v>7</v>
      </c>
      <c r="I38" s="23">
        <v>1</v>
      </c>
      <c r="J38" s="24" t="s">
        <v>87</v>
      </c>
      <c r="K38" s="24" t="s">
        <v>22</v>
      </c>
      <c r="L38" s="24" t="s">
        <v>23</v>
      </c>
      <c r="M38" s="7" t="s">
        <v>114</v>
      </c>
      <c r="N38" s="7" t="s">
        <v>25</v>
      </c>
      <c r="O38" s="25"/>
      <c r="P38" s="25"/>
      <c r="Q38" s="25"/>
    </row>
    <row r="39" spans="1:17" ht="51.75" customHeight="1" x14ac:dyDescent="0.35">
      <c r="A39" s="11">
        <v>35</v>
      </c>
      <c r="B39" s="12" t="s">
        <v>120</v>
      </c>
      <c r="C39" s="12" t="s">
        <v>121</v>
      </c>
      <c r="D39" s="13" t="s">
        <v>154</v>
      </c>
      <c r="E39" s="13" t="s">
        <v>155</v>
      </c>
      <c r="F39" s="11">
        <v>4</v>
      </c>
      <c r="G39" s="11">
        <v>2</v>
      </c>
      <c r="H39" s="11">
        <f>F39+G39</f>
        <v>6</v>
      </c>
      <c r="I39" s="11">
        <v>1</v>
      </c>
      <c r="J39" s="12" t="s">
        <v>38</v>
      </c>
      <c r="K39" s="12" t="s">
        <v>32</v>
      </c>
      <c r="L39" s="12" t="s">
        <v>23</v>
      </c>
      <c r="M39" s="7" t="s">
        <v>156</v>
      </c>
      <c r="N39" s="7" t="s">
        <v>25</v>
      </c>
      <c r="O39" s="13"/>
      <c r="P39" s="13"/>
      <c r="Q39" s="13"/>
    </row>
    <row r="40" spans="1:17" ht="51.75" customHeight="1" x14ac:dyDescent="0.35">
      <c r="A40" s="23">
        <v>60</v>
      </c>
      <c r="B40" s="24" t="s">
        <v>230</v>
      </c>
      <c r="C40" s="24" t="s">
        <v>238</v>
      </c>
      <c r="D40" s="25" t="s">
        <v>242</v>
      </c>
      <c r="E40" s="25" t="s">
        <v>240</v>
      </c>
      <c r="F40" s="23">
        <v>4</v>
      </c>
      <c r="G40" s="23">
        <v>3</v>
      </c>
      <c r="H40" s="23">
        <f>F40+G40</f>
        <v>7</v>
      </c>
      <c r="I40" s="23">
        <v>1</v>
      </c>
      <c r="J40" s="24" t="s">
        <v>87</v>
      </c>
      <c r="K40" s="24" t="s">
        <v>22</v>
      </c>
      <c r="L40" s="24" t="s">
        <v>23</v>
      </c>
      <c r="M40" s="7" t="s">
        <v>156</v>
      </c>
      <c r="N40" s="7" t="s">
        <v>46</v>
      </c>
      <c r="O40" s="25"/>
      <c r="P40" s="25"/>
      <c r="Q40" s="25"/>
    </row>
    <row r="41" spans="1:17" ht="51.75" customHeight="1" x14ac:dyDescent="0.35">
      <c r="A41" s="8">
        <v>9</v>
      </c>
      <c r="B41" s="9" t="s">
        <v>34</v>
      </c>
      <c r="C41" s="9" t="s">
        <v>63</v>
      </c>
      <c r="D41" s="10" t="s">
        <v>67</v>
      </c>
      <c r="E41" s="10" t="s">
        <v>68</v>
      </c>
      <c r="F41" s="8">
        <v>5</v>
      </c>
      <c r="G41" s="8">
        <v>4</v>
      </c>
      <c r="H41" s="8">
        <f>F41+G41</f>
        <v>9</v>
      </c>
      <c r="I41" s="8">
        <v>1</v>
      </c>
      <c r="J41" s="9" t="s">
        <v>43</v>
      </c>
      <c r="K41" s="9" t="s">
        <v>22</v>
      </c>
      <c r="L41" s="9" t="s">
        <v>23</v>
      </c>
      <c r="M41" s="7" t="s">
        <v>69</v>
      </c>
      <c r="N41" s="7" t="s">
        <v>25</v>
      </c>
      <c r="O41" s="10"/>
      <c r="P41" s="10"/>
      <c r="Q41" s="10"/>
    </row>
    <row r="42" spans="1:17" ht="51.75" customHeight="1" x14ac:dyDescent="0.35">
      <c r="A42" s="8">
        <v>23</v>
      </c>
      <c r="B42" s="9" t="s">
        <v>34</v>
      </c>
      <c r="C42" s="9" t="s">
        <v>93</v>
      </c>
      <c r="D42" s="10" t="s">
        <v>115</v>
      </c>
      <c r="E42" s="10" t="s">
        <v>116</v>
      </c>
      <c r="F42" s="8">
        <v>3</v>
      </c>
      <c r="G42" s="8">
        <v>5</v>
      </c>
      <c r="H42" s="8">
        <f>F42+G42</f>
        <v>8</v>
      </c>
      <c r="I42" s="8">
        <v>1</v>
      </c>
      <c r="J42" s="9" t="s">
        <v>38</v>
      </c>
      <c r="K42" s="9" t="s">
        <v>32</v>
      </c>
      <c r="L42" s="9" t="s">
        <v>23</v>
      </c>
      <c r="M42" s="7" t="s">
        <v>69</v>
      </c>
      <c r="N42" s="7" t="s">
        <v>46</v>
      </c>
      <c r="O42" s="10"/>
      <c r="P42" s="10"/>
      <c r="Q42" s="10"/>
    </row>
    <row r="43" spans="1:17" ht="51.75" customHeight="1" x14ac:dyDescent="0.35">
      <c r="A43" s="11">
        <v>32</v>
      </c>
      <c r="B43" s="12" t="s">
        <v>120</v>
      </c>
      <c r="C43" s="12" t="s">
        <v>121</v>
      </c>
      <c r="D43" s="13" t="s">
        <v>146</v>
      </c>
      <c r="E43" s="13" t="s">
        <v>147</v>
      </c>
      <c r="F43" s="11">
        <v>4</v>
      </c>
      <c r="G43" s="11">
        <v>3</v>
      </c>
      <c r="H43" s="11">
        <f>F43+G43</f>
        <v>7</v>
      </c>
      <c r="I43" s="11">
        <v>1</v>
      </c>
      <c r="J43" s="12" t="s">
        <v>38</v>
      </c>
      <c r="K43" s="12" t="s">
        <v>32</v>
      </c>
      <c r="L43" s="12" t="s">
        <v>23</v>
      </c>
      <c r="M43" s="7" t="s">
        <v>148</v>
      </c>
      <c r="N43" s="7" t="s">
        <v>46</v>
      </c>
      <c r="O43" s="13"/>
      <c r="P43" s="13"/>
      <c r="Q43" s="13"/>
    </row>
    <row r="44" spans="1:17" ht="51.75" customHeight="1" x14ac:dyDescent="0.35">
      <c r="A44" s="17">
        <v>48</v>
      </c>
      <c r="B44" s="18" t="s">
        <v>185</v>
      </c>
      <c r="C44" s="18" t="s">
        <v>186</v>
      </c>
      <c r="D44" s="19" t="s">
        <v>198</v>
      </c>
      <c r="E44" s="19" t="s">
        <v>199</v>
      </c>
      <c r="F44" s="17">
        <v>5</v>
      </c>
      <c r="G44" s="17">
        <v>5</v>
      </c>
      <c r="H44" s="17">
        <f>F44+G44</f>
        <v>10</v>
      </c>
      <c r="I44" s="17">
        <v>4</v>
      </c>
      <c r="J44" s="18" t="s">
        <v>163</v>
      </c>
      <c r="K44" s="18" t="s">
        <v>22</v>
      </c>
      <c r="L44" s="18" t="s">
        <v>23</v>
      </c>
      <c r="M44" s="7" t="s">
        <v>148</v>
      </c>
      <c r="N44" s="7" t="s">
        <v>190</v>
      </c>
      <c r="O44" s="19"/>
      <c r="P44" s="19"/>
      <c r="Q44" s="19"/>
    </row>
    <row r="45" spans="1:17" ht="51.75" customHeight="1" x14ac:dyDescent="0.35">
      <c r="A45" s="8">
        <v>6</v>
      </c>
      <c r="B45" s="9" t="s">
        <v>34</v>
      </c>
      <c r="C45" s="9" t="s">
        <v>50</v>
      </c>
      <c r="D45" s="10" t="s">
        <v>51</v>
      </c>
      <c r="E45" s="10" t="s">
        <v>52</v>
      </c>
      <c r="F45" s="8">
        <v>4</v>
      </c>
      <c r="G45" s="8">
        <v>2</v>
      </c>
      <c r="H45" s="8">
        <f>F45+G45</f>
        <v>6</v>
      </c>
      <c r="I45" s="8">
        <v>1</v>
      </c>
      <c r="J45" s="9" t="s">
        <v>38</v>
      </c>
      <c r="K45" s="9" t="s">
        <v>32</v>
      </c>
      <c r="L45" s="9" t="s">
        <v>23</v>
      </c>
      <c r="M45" s="7" t="s">
        <v>53</v>
      </c>
      <c r="N45" s="7" t="s">
        <v>46</v>
      </c>
      <c r="O45" s="10"/>
      <c r="P45" s="10"/>
      <c r="Q45" s="10"/>
    </row>
    <row r="46" spans="1:17" ht="51.75" customHeight="1" x14ac:dyDescent="0.35">
      <c r="A46" s="17">
        <v>49</v>
      </c>
      <c r="B46" s="18" t="s">
        <v>185</v>
      </c>
      <c r="C46" s="18" t="s">
        <v>186</v>
      </c>
      <c r="D46" s="19" t="s">
        <v>200</v>
      </c>
      <c r="E46" s="19" t="s">
        <v>196</v>
      </c>
      <c r="F46" s="17">
        <v>5</v>
      </c>
      <c r="G46" s="17">
        <v>4</v>
      </c>
      <c r="H46" s="17">
        <f>F46+G46</f>
        <v>9</v>
      </c>
      <c r="I46" s="17">
        <v>2</v>
      </c>
      <c r="J46" s="18" t="s">
        <v>87</v>
      </c>
      <c r="K46" s="18" t="s">
        <v>22</v>
      </c>
      <c r="L46" s="18" t="s">
        <v>23</v>
      </c>
      <c r="M46" s="7" t="s">
        <v>53</v>
      </c>
      <c r="N46" s="7" t="s">
        <v>25</v>
      </c>
      <c r="O46" s="19"/>
      <c r="P46" s="19"/>
      <c r="Q46" s="19"/>
    </row>
    <row r="47" spans="1:17" ht="51.75" customHeight="1" x14ac:dyDescent="0.35">
      <c r="A47" s="23">
        <v>61</v>
      </c>
      <c r="B47" s="24" t="s">
        <v>230</v>
      </c>
      <c r="C47" s="24" t="s">
        <v>243</v>
      </c>
      <c r="D47" s="25" t="s">
        <v>244</v>
      </c>
      <c r="E47" s="25" t="s">
        <v>245</v>
      </c>
      <c r="F47" s="23">
        <v>3</v>
      </c>
      <c r="G47" s="23">
        <v>4</v>
      </c>
      <c r="H47" s="23">
        <f>F47+G47</f>
        <v>7</v>
      </c>
      <c r="I47" s="23">
        <v>1</v>
      </c>
      <c r="J47" s="24" t="s">
        <v>38</v>
      </c>
      <c r="K47" s="24" t="s">
        <v>22</v>
      </c>
      <c r="L47" s="24" t="s">
        <v>23</v>
      </c>
      <c r="M47" s="7" t="s">
        <v>246</v>
      </c>
      <c r="N47" s="7" t="s">
        <v>46</v>
      </c>
      <c r="O47" s="25"/>
      <c r="P47" s="25"/>
      <c r="Q47" s="25"/>
    </row>
    <row r="48" spans="1:17" ht="51.75" customHeight="1" x14ac:dyDescent="0.35">
      <c r="A48" s="23">
        <v>62</v>
      </c>
      <c r="B48" s="24" t="s">
        <v>230</v>
      </c>
      <c r="C48" s="24" t="s">
        <v>247</v>
      </c>
      <c r="D48" s="25" t="s">
        <v>248</v>
      </c>
      <c r="E48" s="25" t="s">
        <v>249</v>
      </c>
      <c r="F48" s="23">
        <v>4</v>
      </c>
      <c r="G48" s="23">
        <v>4</v>
      </c>
      <c r="H48" s="23">
        <f>F48+G48</f>
        <v>8</v>
      </c>
      <c r="I48" s="23">
        <v>2</v>
      </c>
      <c r="J48" s="24" t="s">
        <v>224</v>
      </c>
      <c r="K48" s="24" t="s">
        <v>22</v>
      </c>
      <c r="L48" s="24" t="s">
        <v>23</v>
      </c>
      <c r="M48" s="7" t="s">
        <v>246</v>
      </c>
      <c r="N48" s="7" t="s">
        <v>25</v>
      </c>
      <c r="O48" s="25"/>
      <c r="P48" s="25"/>
      <c r="Q48" s="25"/>
    </row>
    <row r="49" spans="1:17" ht="51.75" customHeight="1" x14ac:dyDescent="0.35">
      <c r="A49" s="8">
        <v>10</v>
      </c>
      <c r="B49" s="9" t="s">
        <v>34</v>
      </c>
      <c r="C49" s="9" t="s">
        <v>63</v>
      </c>
      <c r="D49" s="10" t="s">
        <v>70</v>
      </c>
      <c r="E49" s="10" t="s">
        <v>71</v>
      </c>
      <c r="F49" s="8">
        <v>5</v>
      </c>
      <c r="G49" s="8">
        <v>4</v>
      </c>
      <c r="H49" s="8">
        <f>F49+G49</f>
        <v>9</v>
      </c>
      <c r="I49" s="8">
        <v>1</v>
      </c>
      <c r="J49" s="9" t="s">
        <v>43</v>
      </c>
      <c r="K49" s="9" t="s">
        <v>22</v>
      </c>
      <c r="L49" s="9" t="s">
        <v>23</v>
      </c>
      <c r="M49" s="7" t="s">
        <v>72</v>
      </c>
      <c r="N49" s="7" t="s">
        <v>25</v>
      </c>
      <c r="O49" s="10"/>
      <c r="P49" s="10"/>
      <c r="Q49" s="10"/>
    </row>
    <row r="50" spans="1:17" ht="51.75" customHeight="1" x14ac:dyDescent="0.35">
      <c r="A50" s="11">
        <v>28</v>
      </c>
      <c r="B50" s="12" t="s">
        <v>120</v>
      </c>
      <c r="C50" s="12" t="s">
        <v>121</v>
      </c>
      <c r="D50" s="13" t="s">
        <v>134</v>
      </c>
      <c r="E50" s="13" t="s">
        <v>135</v>
      </c>
      <c r="F50" s="11">
        <v>4</v>
      </c>
      <c r="G50" s="11">
        <v>4</v>
      </c>
      <c r="H50" s="11">
        <f>F50+G50</f>
        <v>8</v>
      </c>
      <c r="I50" s="11">
        <v>1</v>
      </c>
      <c r="J50" s="12" t="s">
        <v>38</v>
      </c>
      <c r="K50" s="12" t="s">
        <v>32</v>
      </c>
      <c r="L50" s="12" t="s">
        <v>23</v>
      </c>
      <c r="M50" s="7" t="s">
        <v>72</v>
      </c>
      <c r="N50" s="7" t="s">
        <v>46</v>
      </c>
      <c r="O50" s="13"/>
      <c r="P50" s="13"/>
      <c r="Q50" s="13"/>
    </row>
    <row r="51" spans="1:17" ht="51.75" customHeight="1" x14ac:dyDescent="0.35">
      <c r="A51" s="11">
        <v>34</v>
      </c>
      <c r="B51" s="12" t="s">
        <v>120</v>
      </c>
      <c r="C51" s="12" t="s">
        <v>121</v>
      </c>
      <c r="D51" s="13" t="s">
        <v>151</v>
      </c>
      <c r="E51" s="13" t="s">
        <v>152</v>
      </c>
      <c r="F51" s="11">
        <v>4</v>
      </c>
      <c r="G51" s="11">
        <v>2</v>
      </c>
      <c r="H51" s="11">
        <f>F51+G51</f>
        <v>6</v>
      </c>
      <c r="I51" s="11">
        <v>1</v>
      </c>
      <c r="J51" s="12" t="s">
        <v>38</v>
      </c>
      <c r="K51" s="12" t="s">
        <v>32</v>
      </c>
      <c r="L51" s="12" t="s">
        <v>23</v>
      </c>
      <c r="M51" s="7" t="s">
        <v>153</v>
      </c>
      <c r="N51" s="7" t="s">
        <v>46</v>
      </c>
      <c r="O51" s="13"/>
      <c r="P51" s="13"/>
      <c r="Q51" s="13"/>
    </row>
    <row r="52" spans="1:17" ht="51.75" customHeight="1" x14ac:dyDescent="0.35">
      <c r="A52" s="14">
        <v>37</v>
      </c>
      <c r="B52" s="15" t="s">
        <v>157</v>
      </c>
      <c r="C52" s="15" t="s">
        <v>158</v>
      </c>
      <c r="D52" s="16" t="s">
        <v>161</v>
      </c>
      <c r="E52" s="16" t="s">
        <v>162</v>
      </c>
      <c r="F52" s="14">
        <v>4</v>
      </c>
      <c r="G52" s="14">
        <v>4</v>
      </c>
      <c r="H52" s="14">
        <f>F52+G52</f>
        <v>8</v>
      </c>
      <c r="I52" s="14">
        <v>4</v>
      </c>
      <c r="J52" s="15" t="s">
        <v>163</v>
      </c>
      <c r="K52" s="15" t="s">
        <v>22</v>
      </c>
      <c r="L52" s="15" t="s">
        <v>23</v>
      </c>
      <c r="M52" s="7" t="s">
        <v>153</v>
      </c>
      <c r="N52" s="7" t="s">
        <v>25</v>
      </c>
      <c r="O52" s="16"/>
      <c r="P52" s="16"/>
      <c r="Q52" s="16"/>
    </row>
    <row r="53" spans="1:17" ht="51.75" customHeight="1" x14ac:dyDescent="0.35">
      <c r="A53" s="8">
        <v>20</v>
      </c>
      <c r="B53" s="9" t="s">
        <v>34</v>
      </c>
      <c r="C53" s="9" t="s">
        <v>93</v>
      </c>
      <c r="D53" s="10" t="s">
        <v>105</v>
      </c>
      <c r="E53" s="10" t="s">
        <v>106</v>
      </c>
      <c r="F53" s="8">
        <v>3</v>
      </c>
      <c r="G53" s="8">
        <v>5</v>
      </c>
      <c r="H53" s="8">
        <f>F53+G53</f>
        <v>8</v>
      </c>
      <c r="I53" s="8">
        <v>1</v>
      </c>
      <c r="J53" s="9" t="s">
        <v>38</v>
      </c>
      <c r="K53" s="9" t="s">
        <v>32</v>
      </c>
      <c r="L53" s="9" t="s">
        <v>23</v>
      </c>
      <c r="M53" s="7" t="s">
        <v>107</v>
      </c>
      <c r="N53" s="7" t="s">
        <v>46</v>
      </c>
      <c r="O53" s="10"/>
      <c r="P53" s="10"/>
      <c r="Q53" s="10"/>
    </row>
    <row r="54" spans="1:17" ht="51.75" customHeight="1" x14ac:dyDescent="0.35">
      <c r="A54" s="23">
        <v>68</v>
      </c>
      <c r="B54" s="24" t="s">
        <v>230</v>
      </c>
      <c r="C54" s="24" t="s">
        <v>268</v>
      </c>
      <c r="D54" s="25" t="s">
        <v>269</v>
      </c>
      <c r="E54" s="25" t="s">
        <v>270</v>
      </c>
      <c r="F54" s="23">
        <v>4</v>
      </c>
      <c r="G54" s="23">
        <v>4</v>
      </c>
      <c r="H54" s="23">
        <f>F54+G54</f>
        <v>8</v>
      </c>
      <c r="I54" s="23">
        <v>4</v>
      </c>
      <c r="J54" s="24" t="s">
        <v>163</v>
      </c>
      <c r="K54" s="24" t="s">
        <v>22</v>
      </c>
      <c r="L54" s="24" t="s">
        <v>23</v>
      </c>
      <c r="M54" s="7" t="s">
        <v>107</v>
      </c>
      <c r="N54" s="7" t="s">
        <v>25</v>
      </c>
      <c r="O54" s="25"/>
      <c r="P54" s="25"/>
      <c r="Q54" s="25"/>
    </row>
    <row r="55" spans="1:17" ht="51.75" customHeight="1" x14ac:dyDescent="0.35">
      <c r="A55" s="8">
        <v>11</v>
      </c>
      <c r="B55" s="9" t="s">
        <v>34</v>
      </c>
      <c r="C55" s="9" t="s">
        <v>63</v>
      </c>
      <c r="D55" s="10" t="s">
        <v>73</v>
      </c>
      <c r="E55" s="10" t="s">
        <v>74</v>
      </c>
      <c r="F55" s="8">
        <v>5</v>
      </c>
      <c r="G55" s="8">
        <v>4</v>
      </c>
      <c r="H55" s="8">
        <f>F55+G55</f>
        <v>9</v>
      </c>
      <c r="I55" s="8">
        <v>1</v>
      </c>
      <c r="J55" s="9" t="s">
        <v>43</v>
      </c>
      <c r="K55" s="9" t="s">
        <v>22</v>
      </c>
      <c r="L55" s="9" t="s">
        <v>23</v>
      </c>
      <c r="M55" s="7" t="s">
        <v>75</v>
      </c>
      <c r="N55" s="7" t="s">
        <v>25</v>
      </c>
      <c r="O55" s="10"/>
      <c r="P55" s="10"/>
      <c r="Q55" s="10"/>
    </row>
    <row r="56" spans="1:17" ht="51.75" customHeight="1" x14ac:dyDescent="0.35">
      <c r="A56" s="11">
        <v>33</v>
      </c>
      <c r="B56" s="12" t="s">
        <v>120</v>
      </c>
      <c r="C56" s="12" t="s">
        <v>121</v>
      </c>
      <c r="D56" s="13" t="s">
        <v>149</v>
      </c>
      <c r="E56" s="13" t="s">
        <v>150</v>
      </c>
      <c r="F56" s="11">
        <v>4</v>
      </c>
      <c r="G56" s="11">
        <v>2</v>
      </c>
      <c r="H56" s="11">
        <f>F56+G56</f>
        <v>6</v>
      </c>
      <c r="I56" s="11">
        <v>1</v>
      </c>
      <c r="J56" s="12" t="s">
        <v>38</v>
      </c>
      <c r="K56" s="12" t="s">
        <v>32</v>
      </c>
      <c r="L56" s="12" t="s">
        <v>23</v>
      </c>
      <c r="M56" s="7" t="s">
        <v>75</v>
      </c>
      <c r="N56" s="7" t="s">
        <v>46</v>
      </c>
      <c r="O56" s="13"/>
      <c r="P56" s="13"/>
      <c r="Q56" s="13"/>
    </row>
    <row r="57" spans="1:17" ht="51.75" customHeight="1" x14ac:dyDescent="0.35">
      <c r="A57" s="8">
        <v>12</v>
      </c>
      <c r="B57" s="9" t="s">
        <v>34</v>
      </c>
      <c r="C57" s="9" t="s">
        <v>63</v>
      </c>
      <c r="D57" s="10" t="s">
        <v>76</v>
      </c>
      <c r="E57" s="10" t="s">
        <v>77</v>
      </c>
      <c r="F57" s="8">
        <v>5</v>
      </c>
      <c r="G57" s="8">
        <v>4</v>
      </c>
      <c r="H57" s="8">
        <f>F57+G57</f>
        <v>9</v>
      </c>
      <c r="I57" s="8">
        <v>1</v>
      </c>
      <c r="J57" s="9" t="s">
        <v>43</v>
      </c>
      <c r="K57" s="9" t="s">
        <v>22</v>
      </c>
      <c r="L57" s="9" t="s">
        <v>23</v>
      </c>
      <c r="M57" s="7" t="s">
        <v>78</v>
      </c>
      <c r="N57" s="7" t="s">
        <v>25</v>
      </c>
      <c r="O57" s="10"/>
      <c r="P57" s="10"/>
      <c r="Q57" s="10"/>
    </row>
    <row r="58" spans="1:17" ht="51.75" customHeight="1" x14ac:dyDescent="0.35">
      <c r="A58" s="14">
        <v>42</v>
      </c>
      <c r="B58" s="15" t="s">
        <v>157</v>
      </c>
      <c r="C58" s="15" t="s">
        <v>178</v>
      </c>
      <c r="D58" s="16" t="s">
        <v>179</v>
      </c>
      <c r="E58" s="16" t="s">
        <v>180</v>
      </c>
      <c r="F58" s="14">
        <v>2</v>
      </c>
      <c r="G58" s="14">
        <v>4</v>
      </c>
      <c r="H58" s="14">
        <f>F58+G58</f>
        <v>6</v>
      </c>
      <c r="I58" s="14">
        <v>3</v>
      </c>
      <c r="J58" s="15" t="s">
        <v>21</v>
      </c>
      <c r="K58" s="15" t="s">
        <v>22</v>
      </c>
      <c r="L58" s="15" t="s">
        <v>23</v>
      </c>
      <c r="M58" s="7" t="s">
        <v>78</v>
      </c>
      <c r="N58" s="7" t="s">
        <v>46</v>
      </c>
      <c r="O58" s="16"/>
      <c r="P58" s="16"/>
      <c r="Q58" s="16"/>
    </row>
    <row r="59" spans="1:17" ht="51.75" customHeight="1" x14ac:dyDescent="0.35">
      <c r="A59" s="8">
        <v>3</v>
      </c>
      <c r="B59" s="9" t="s">
        <v>34</v>
      </c>
      <c r="C59" s="9" t="s">
        <v>35</v>
      </c>
      <c r="D59" s="10" t="s">
        <v>36</v>
      </c>
      <c r="E59" s="10" t="s">
        <v>37</v>
      </c>
      <c r="F59" s="8">
        <v>5</v>
      </c>
      <c r="G59" s="8">
        <v>4</v>
      </c>
      <c r="H59" s="8">
        <f>F59+G59</f>
        <v>9</v>
      </c>
      <c r="I59" s="8">
        <v>1</v>
      </c>
      <c r="J59" s="9" t="s">
        <v>38</v>
      </c>
      <c r="K59" s="9" t="s">
        <v>22</v>
      </c>
      <c r="L59" s="9" t="s">
        <v>23</v>
      </c>
      <c r="M59" s="7" t="s">
        <v>39</v>
      </c>
      <c r="N59" s="7" t="s">
        <v>25</v>
      </c>
      <c r="O59" s="10"/>
      <c r="P59" s="10"/>
      <c r="Q59" s="10"/>
    </row>
    <row r="60" spans="1:17" ht="51.75" customHeight="1" x14ac:dyDescent="0.35">
      <c r="A60" s="23">
        <v>70</v>
      </c>
      <c r="B60" s="24" t="s">
        <v>230</v>
      </c>
      <c r="C60" s="24" t="s">
        <v>268</v>
      </c>
      <c r="D60" s="25" t="s">
        <v>273</v>
      </c>
      <c r="E60" s="25" t="s">
        <v>274</v>
      </c>
      <c r="F60" s="23">
        <v>4</v>
      </c>
      <c r="G60" s="23">
        <v>4</v>
      </c>
      <c r="H60" s="23">
        <f>F60+G60</f>
        <v>8</v>
      </c>
      <c r="I60" s="23">
        <v>2</v>
      </c>
      <c r="J60" s="24" t="s">
        <v>224</v>
      </c>
      <c r="K60" s="24" t="s">
        <v>22</v>
      </c>
      <c r="L60" s="24" t="s">
        <v>23</v>
      </c>
      <c r="M60" s="7" t="s">
        <v>39</v>
      </c>
      <c r="N60" s="7" t="s">
        <v>46</v>
      </c>
      <c r="O60" s="25"/>
      <c r="P60" s="25"/>
      <c r="Q60" s="25"/>
    </row>
    <row r="61" spans="1:17" ht="51.75" customHeight="1" x14ac:dyDescent="0.35">
      <c r="A61" s="8">
        <v>13</v>
      </c>
      <c r="B61" s="9" t="s">
        <v>34</v>
      </c>
      <c r="C61" s="9" t="s">
        <v>63</v>
      </c>
      <c r="D61" s="10" t="s">
        <v>79</v>
      </c>
      <c r="E61" s="10" t="s">
        <v>80</v>
      </c>
      <c r="F61" s="8">
        <v>5</v>
      </c>
      <c r="G61" s="8">
        <v>4</v>
      </c>
      <c r="H61" s="8">
        <f>F61+G61</f>
        <v>9</v>
      </c>
      <c r="I61" s="8">
        <v>1</v>
      </c>
      <c r="J61" s="9" t="s">
        <v>43</v>
      </c>
      <c r="K61" s="9" t="s">
        <v>22</v>
      </c>
      <c r="L61" s="9" t="s">
        <v>23</v>
      </c>
      <c r="M61" s="7" t="s">
        <v>81</v>
      </c>
      <c r="N61" s="7" t="s">
        <v>46</v>
      </c>
      <c r="O61" s="10"/>
      <c r="P61" s="10"/>
      <c r="Q61" s="10"/>
    </row>
    <row r="62" spans="1:17" ht="51.75" customHeight="1" x14ac:dyDescent="0.35">
      <c r="A62" s="14">
        <v>39</v>
      </c>
      <c r="B62" s="15" t="s">
        <v>157</v>
      </c>
      <c r="C62" s="15" t="s">
        <v>168</v>
      </c>
      <c r="D62" s="16" t="s">
        <v>169</v>
      </c>
      <c r="E62" s="16" t="s">
        <v>170</v>
      </c>
      <c r="F62" s="14">
        <v>3</v>
      </c>
      <c r="G62" s="14">
        <v>5</v>
      </c>
      <c r="H62" s="14">
        <f>F62+G62</f>
        <v>8</v>
      </c>
      <c r="I62" s="14">
        <v>1</v>
      </c>
      <c r="J62" s="15" t="s">
        <v>43</v>
      </c>
      <c r="K62" s="15" t="s">
        <v>22</v>
      </c>
      <c r="L62" s="15" t="s">
        <v>23</v>
      </c>
      <c r="M62" s="7" t="s">
        <v>81</v>
      </c>
      <c r="N62" s="7" t="s">
        <v>25</v>
      </c>
      <c r="O62" s="16"/>
      <c r="P62" s="16"/>
      <c r="Q62" s="16"/>
    </row>
    <row r="63" spans="1:17" ht="51.75" customHeight="1" x14ac:dyDescent="0.35">
      <c r="A63" s="11">
        <v>26</v>
      </c>
      <c r="B63" s="12" t="s">
        <v>120</v>
      </c>
      <c r="C63" s="12" t="s">
        <v>121</v>
      </c>
      <c r="D63" s="13" t="s">
        <v>125</v>
      </c>
      <c r="E63" s="13" t="s">
        <v>126</v>
      </c>
      <c r="F63" s="11">
        <v>4</v>
      </c>
      <c r="G63" s="11">
        <v>5</v>
      </c>
      <c r="H63" s="11">
        <f>F63+G63</f>
        <v>9</v>
      </c>
      <c r="I63" s="11">
        <v>1</v>
      </c>
      <c r="J63" s="12" t="s">
        <v>38</v>
      </c>
      <c r="K63" s="12" t="s">
        <v>32</v>
      </c>
      <c r="L63" s="12" t="s">
        <v>23</v>
      </c>
      <c r="M63" s="7" t="s">
        <v>127</v>
      </c>
      <c r="N63" s="7" t="s">
        <v>46</v>
      </c>
      <c r="O63" s="13"/>
      <c r="P63" s="13"/>
      <c r="Q63" s="13"/>
    </row>
    <row r="64" spans="1:17" ht="51.75" customHeight="1" x14ac:dyDescent="0.35">
      <c r="A64" s="14">
        <v>40</v>
      </c>
      <c r="B64" s="15" t="s">
        <v>157</v>
      </c>
      <c r="C64" s="15" t="s">
        <v>164</v>
      </c>
      <c r="D64" s="16" t="s">
        <v>171</v>
      </c>
      <c r="E64" s="16" t="s">
        <v>172</v>
      </c>
      <c r="F64" s="14">
        <v>4</v>
      </c>
      <c r="G64" s="14">
        <v>5</v>
      </c>
      <c r="H64" s="14">
        <f>F64+G64</f>
        <v>9</v>
      </c>
      <c r="I64" s="14">
        <v>3</v>
      </c>
      <c r="J64" s="15" t="s">
        <v>21</v>
      </c>
      <c r="K64" s="15" t="s">
        <v>22</v>
      </c>
      <c r="L64" s="15" t="s">
        <v>23</v>
      </c>
      <c r="M64" s="7" t="s">
        <v>127</v>
      </c>
      <c r="N64" s="7" t="s">
        <v>25</v>
      </c>
      <c r="O64" s="16"/>
      <c r="P64" s="16"/>
      <c r="Q64" s="16"/>
    </row>
    <row r="65" spans="1:17" ht="51.75" customHeight="1" x14ac:dyDescent="0.35">
      <c r="A65" s="14">
        <v>43</v>
      </c>
      <c r="B65" s="15" t="s">
        <v>157</v>
      </c>
      <c r="C65" s="15" t="s">
        <v>181</v>
      </c>
      <c r="D65" s="16" t="s">
        <v>182</v>
      </c>
      <c r="E65" s="16" t="s">
        <v>183</v>
      </c>
      <c r="F65" s="14">
        <v>3</v>
      </c>
      <c r="G65" s="14">
        <v>5</v>
      </c>
      <c r="H65" s="14">
        <f>F65+G65</f>
        <v>8</v>
      </c>
      <c r="I65" s="14">
        <v>3</v>
      </c>
      <c r="J65" s="15" t="s">
        <v>21</v>
      </c>
      <c r="K65" s="15" t="s">
        <v>22</v>
      </c>
      <c r="L65" s="15" t="s">
        <v>23</v>
      </c>
      <c r="M65" s="7" t="s">
        <v>184</v>
      </c>
      <c r="N65" s="7" t="s">
        <v>25</v>
      </c>
      <c r="O65" s="16"/>
      <c r="P65" s="16"/>
      <c r="Q65" s="16"/>
    </row>
    <row r="66" spans="1:17" ht="51.75" customHeight="1" x14ac:dyDescent="0.35">
      <c r="A66" s="23">
        <v>69</v>
      </c>
      <c r="B66" s="24" t="s">
        <v>230</v>
      </c>
      <c r="C66" s="24" t="s">
        <v>268</v>
      </c>
      <c r="D66" s="25" t="s">
        <v>271</v>
      </c>
      <c r="E66" s="25" t="s">
        <v>272</v>
      </c>
      <c r="F66" s="23">
        <v>4</v>
      </c>
      <c r="G66" s="23">
        <v>4</v>
      </c>
      <c r="H66" s="23">
        <f>F66+G66</f>
        <v>8</v>
      </c>
      <c r="I66" s="23">
        <v>3</v>
      </c>
      <c r="J66" s="24" t="s">
        <v>21</v>
      </c>
      <c r="K66" s="24" t="s">
        <v>22</v>
      </c>
      <c r="L66" s="24" t="s">
        <v>23</v>
      </c>
      <c r="M66" s="7" t="s">
        <v>184</v>
      </c>
      <c r="N66" s="7" t="s">
        <v>46</v>
      </c>
      <c r="O66" s="25"/>
      <c r="P66" s="25"/>
      <c r="Q66" s="25"/>
    </row>
    <row r="67" spans="1:17" ht="51.75" customHeight="1" x14ac:dyDescent="0.35">
      <c r="A67" s="8">
        <v>14</v>
      </c>
      <c r="B67" s="9" t="s">
        <v>34</v>
      </c>
      <c r="C67" s="9" t="s">
        <v>63</v>
      </c>
      <c r="D67" s="10" t="s">
        <v>82</v>
      </c>
      <c r="E67" s="10" t="s">
        <v>83</v>
      </c>
      <c r="F67" s="8">
        <v>5</v>
      </c>
      <c r="G67" s="8">
        <v>4</v>
      </c>
      <c r="H67" s="8">
        <f>F67+G67</f>
        <v>9</v>
      </c>
      <c r="I67" s="8">
        <v>1</v>
      </c>
      <c r="J67" s="9" t="s">
        <v>43</v>
      </c>
      <c r="K67" s="9" t="s">
        <v>22</v>
      </c>
      <c r="L67" s="9" t="s">
        <v>23</v>
      </c>
      <c r="M67" s="7" t="s">
        <v>84</v>
      </c>
      <c r="N67" s="7" t="s">
        <v>46</v>
      </c>
      <c r="O67" s="10"/>
      <c r="P67" s="10"/>
      <c r="Q67" s="10"/>
    </row>
    <row r="68" spans="1:17" ht="51.75" customHeight="1" x14ac:dyDescent="0.35">
      <c r="A68" s="14">
        <v>36</v>
      </c>
      <c r="B68" s="15" t="s">
        <v>157</v>
      </c>
      <c r="C68" s="15" t="s">
        <v>158</v>
      </c>
      <c r="D68" s="16" t="s">
        <v>159</v>
      </c>
      <c r="E68" s="16" t="s">
        <v>160</v>
      </c>
      <c r="F68" s="14">
        <v>3</v>
      </c>
      <c r="G68" s="14">
        <v>5</v>
      </c>
      <c r="H68" s="14">
        <f>F68+G68</f>
        <v>8</v>
      </c>
      <c r="I68" s="14">
        <v>3</v>
      </c>
      <c r="J68" s="15" t="s">
        <v>21</v>
      </c>
      <c r="K68" s="15" t="s">
        <v>22</v>
      </c>
      <c r="L68" s="15" t="s">
        <v>23</v>
      </c>
      <c r="M68" s="7" t="s">
        <v>84</v>
      </c>
      <c r="N68" s="7" t="s">
        <v>25</v>
      </c>
      <c r="O68" s="16"/>
      <c r="P68" s="16"/>
      <c r="Q68" s="16"/>
    </row>
    <row r="69" spans="1:17" ht="51.75" customHeight="1" x14ac:dyDescent="0.35">
      <c r="A69" s="14">
        <v>41</v>
      </c>
      <c r="B69" s="15" t="s">
        <v>157</v>
      </c>
      <c r="C69" s="15" t="s">
        <v>173</v>
      </c>
      <c r="D69" s="16" t="s">
        <v>174</v>
      </c>
      <c r="E69" s="16" t="s">
        <v>175</v>
      </c>
      <c r="F69" s="14">
        <v>2</v>
      </c>
      <c r="G69" s="14">
        <v>4</v>
      </c>
      <c r="H69" s="14">
        <f>F69+G69</f>
        <v>6</v>
      </c>
      <c r="I69" s="14">
        <v>5</v>
      </c>
      <c r="J69" s="15" t="s">
        <v>176</v>
      </c>
      <c r="K69" s="15" t="s">
        <v>22</v>
      </c>
      <c r="L69" s="15" t="s">
        <v>23</v>
      </c>
      <c r="M69" s="7" t="s">
        <v>177</v>
      </c>
      <c r="N69" s="7" t="s">
        <v>25</v>
      </c>
      <c r="O69" s="16"/>
      <c r="P69" s="16"/>
      <c r="Q69" s="16"/>
    </row>
    <row r="70" spans="1:17" ht="51.75" customHeight="1" x14ac:dyDescent="0.35">
      <c r="A70" s="20">
        <v>50</v>
      </c>
      <c r="B70" s="21" t="s">
        <v>201</v>
      </c>
      <c r="C70" s="21" t="s">
        <v>202</v>
      </c>
      <c r="D70" s="22" t="s">
        <v>203</v>
      </c>
      <c r="E70" s="22" t="s">
        <v>204</v>
      </c>
      <c r="F70" s="20">
        <v>5</v>
      </c>
      <c r="G70" s="20">
        <v>3</v>
      </c>
      <c r="H70" s="20">
        <f>F70+G70</f>
        <v>8</v>
      </c>
      <c r="I70" s="20">
        <v>1</v>
      </c>
      <c r="J70" s="21" t="s">
        <v>38</v>
      </c>
      <c r="K70" s="21" t="s">
        <v>32</v>
      </c>
      <c r="L70" s="21" t="s">
        <v>23</v>
      </c>
      <c r="M70" s="7" t="s">
        <v>177</v>
      </c>
      <c r="N70" s="7" t="s">
        <v>46</v>
      </c>
      <c r="O70" s="22" t="s">
        <v>205</v>
      </c>
      <c r="P70" s="22" t="s">
        <v>206</v>
      </c>
      <c r="Q70" s="22" t="s">
        <v>207</v>
      </c>
    </row>
    <row r="71" spans="1:17" ht="51.75" customHeight="1" x14ac:dyDescent="0.35">
      <c r="A71" s="8">
        <v>15</v>
      </c>
      <c r="B71" s="9" t="s">
        <v>34</v>
      </c>
      <c r="C71" s="9" t="s">
        <v>63</v>
      </c>
      <c r="D71" s="10" t="s">
        <v>85</v>
      </c>
      <c r="E71" s="10" t="s">
        <v>86</v>
      </c>
      <c r="F71" s="8">
        <v>5</v>
      </c>
      <c r="G71" s="8">
        <v>5</v>
      </c>
      <c r="H71" s="8">
        <f>F71+G71</f>
        <v>10</v>
      </c>
      <c r="I71" s="8">
        <v>2</v>
      </c>
      <c r="J71" s="9" t="s">
        <v>87</v>
      </c>
      <c r="K71" s="9" t="s">
        <v>22</v>
      </c>
      <c r="L71" s="9" t="s">
        <v>23</v>
      </c>
      <c r="M71" s="7" t="s">
        <v>88</v>
      </c>
      <c r="N71" s="7" t="s">
        <v>89</v>
      </c>
      <c r="O71" s="10"/>
      <c r="P71" s="10"/>
      <c r="Q71" s="10"/>
    </row>
  </sheetData>
  <autoFilter ref="A1:Q71" xr:uid="{00000000-0009-0000-0000-000000000000}"/>
  <sortState xmlns:xlrd2="http://schemas.microsoft.com/office/spreadsheetml/2017/richdata2" ref="A2:Q71">
    <sortCondition ref="M2:M71"/>
  </sortState>
  <conditionalFormatting sqref="H2:H71">
    <cfRule type="colorScale" priority="2">
      <colorScale>
        <cfvo type="num" val="4"/>
        <cfvo type="num" val="7"/>
        <cfvo type="num" val="10"/>
        <color rgb="FFF8696B"/>
        <color rgb="FFFFEB84"/>
        <color rgb="FF63BE7B"/>
      </colorScale>
    </cfRule>
  </conditionalFormatting>
  <conditionalFormatting sqref="I2:I7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dataValidations count="1">
    <dataValidation type="list" sqref="L2:L71" xr:uid="{00000000-0002-0000-0000-000000000000}">
      <formula1>"Idea,To film,Filmed,To edit,Ready to post"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3"/>
  <sheetViews>
    <sheetView showGridLines="0" zoomScaleNormal="100" workbookViewId="0"/>
  </sheetViews>
  <sheetFormatPr baseColWidth="10" defaultColWidth="8.6328125" defaultRowHeight="14.5" x14ac:dyDescent="0.35"/>
  <cols>
    <col min="1" max="1" width="42" customWidth="1"/>
    <col min="2" max="2" width="28" customWidth="1"/>
    <col min="3" max="3" width="10" customWidth="1"/>
    <col min="4" max="4" width="12" customWidth="1"/>
    <col min="5" max="5" width="10" customWidth="1"/>
    <col min="6" max="6" width="12" customWidth="1"/>
  </cols>
  <sheetData>
    <row r="1" spans="1:6" ht="18" x14ac:dyDescent="0.4">
      <c r="A1" s="2" t="s">
        <v>275</v>
      </c>
      <c r="B1" s="2"/>
      <c r="C1" s="2"/>
      <c r="D1" s="2"/>
      <c r="E1" s="2"/>
      <c r="F1" s="2"/>
    </row>
    <row r="3" spans="1:6" x14ac:dyDescent="0.35">
      <c r="A3" s="1" t="s">
        <v>276</v>
      </c>
      <c r="B3" s="1"/>
    </row>
    <row r="4" spans="1:6" x14ac:dyDescent="0.35">
      <c r="A4" s="26" t="s">
        <v>277</v>
      </c>
      <c r="B4" s="27">
        <f>COUNTA('Video Ideas'!A2:A71)</f>
        <v>70</v>
      </c>
    </row>
    <row r="5" spans="1:6" x14ac:dyDescent="0.35">
      <c r="A5" s="26" t="s">
        <v>278</v>
      </c>
      <c r="B5" s="27">
        <f>ROUND(AVERAGE('Video Ideas'!H2:H71),1)</f>
        <v>8</v>
      </c>
    </row>
    <row r="6" spans="1:6" x14ac:dyDescent="0.35">
      <c r="A6" s="26" t="s">
        <v>279</v>
      </c>
      <c r="B6" s="27">
        <f>COUNTIF('Video Ideas'!J2:J71,"Ready (0 min)")</f>
        <v>6</v>
      </c>
    </row>
    <row r="7" spans="1:6" x14ac:dyDescent="0.35">
      <c r="A7" s="26" t="s">
        <v>280</v>
      </c>
      <c r="B7" s="27">
        <f>COUNTA('Video Ideas'!M2:M71)</f>
        <v>70</v>
      </c>
    </row>
    <row r="8" spans="1:6" x14ac:dyDescent="0.35">
      <c r="A8" s="26" t="s">
        <v>281</v>
      </c>
      <c r="B8" s="27">
        <f>COUNTIFS('Video Ideas'!H2:H71,"&gt;=9",'Video Ideas'!I2:I71,1)</f>
        <v>12</v>
      </c>
    </row>
    <row r="10" spans="1:6" x14ac:dyDescent="0.35">
      <c r="A10" s="1" t="s">
        <v>282</v>
      </c>
      <c r="B10" s="1"/>
      <c r="C10" s="1"/>
      <c r="D10" s="1"/>
    </row>
    <row r="11" spans="1:6" x14ac:dyDescent="0.35">
      <c r="A11" s="27" t="s">
        <v>1</v>
      </c>
      <c r="B11" s="27" t="s">
        <v>283</v>
      </c>
      <c r="C11" s="27" t="s">
        <v>284</v>
      </c>
      <c r="D11" s="27" t="s">
        <v>285</v>
      </c>
    </row>
    <row r="12" spans="1:6" x14ac:dyDescent="0.35">
      <c r="A12" s="28" t="s">
        <v>17</v>
      </c>
      <c r="B12" s="29">
        <f>COUNTIF('Video Ideas'!B2:B71,A12)</f>
        <v>2</v>
      </c>
      <c r="C12" s="29">
        <f>ROUND(AVERAGEIF('Video Ideas'!B2:B71,A12,'Video Ideas'!H2:H71),1)</f>
        <v>7.5</v>
      </c>
      <c r="D12" s="29">
        <f>ROUND(AVERAGEIF('Video Ideas'!B2:B71,A12,'Video Ideas'!I2:I71),1)</f>
        <v>3</v>
      </c>
    </row>
    <row r="13" spans="1:6" x14ac:dyDescent="0.35">
      <c r="A13" s="30" t="s">
        <v>34</v>
      </c>
      <c r="B13" s="31">
        <f>COUNTIF('Video Ideas'!B2:B71,A13)</f>
        <v>22</v>
      </c>
      <c r="C13" s="31">
        <f>ROUND(AVERAGEIF('Video Ideas'!B2:B71,A13,'Video Ideas'!H2:H71),1)</f>
        <v>8.1999999999999993</v>
      </c>
      <c r="D13" s="31">
        <f>ROUND(AVERAGEIF('Video Ideas'!B2:B71,A13,'Video Ideas'!I2:I71),1)</f>
        <v>1.2</v>
      </c>
    </row>
    <row r="14" spans="1:6" x14ac:dyDescent="0.35">
      <c r="A14" s="32" t="s">
        <v>120</v>
      </c>
      <c r="B14" s="33">
        <f>COUNTIF('Video Ideas'!B2:B71,A14)</f>
        <v>11</v>
      </c>
      <c r="C14" s="33">
        <f>ROUND(AVERAGEIF('Video Ideas'!B2:B71,A14,'Video Ideas'!H2:H71),1)</f>
        <v>7.3</v>
      </c>
      <c r="D14" s="33">
        <f>ROUND(AVERAGEIF('Video Ideas'!B2:B71,A14,'Video Ideas'!I2:I71),1)</f>
        <v>1</v>
      </c>
    </row>
    <row r="15" spans="1:6" x14ac:dyDescent="0.35">
      <c r="A15" s="34" t="s">
        <v>157</v>
      </c>
      <c r="B15" s="35">
        <f>COUNTIF('Video Ideas'!B2:B71,A15)</f>
        <v>8</v>
      </c>
      <c r="C15" s="35">
        <f>ROUND(AVERAGEIF('Video Ideas'!B2:B71,A15,'Video Ideas'!H2:H71),1)</f>
        <v>7.5</v>
      </c>
      <c r="D15" s="35">
        <f>ROUND(AVERAGEIF('Video Ideas'!B2:B71,A15,'Video Ideas'!I2:I71),1)</f>
        <v>2.9</v>
      </c>
    </row>
    <row r="16" spans="1:6" x14ac:dyDescent="0.35">
      <c r="A16" s="36" t="s">
        <v>185</v>
      </c>
      <c r="B16" s="37">
        <f>COUNTIF('Video Ideas'!B2:B71,A16)</f>
        <v>6</v>
      </c>
      <c r="C16" s="37">
        <f>ROUND(AVERAGEIF('Video Ideas'!B2:B71,A16,'Video Ideas'!H2:H71),1)</f>
        <v>9.5</v>
      </c>
      <c r="D16" s="37">
        <f>ROUND(AVERAGEIF('Video Ideas'!B2:B71,A16,'Video Ideas'!I2:I71),1)</f>
        <v>3</v>
      </c>
    </row>
    <row r="17" spans="1:6" x14ac:dyDescent="0.35">
      <c r="A17" s="38" t="s">
        <v>201</v>
      </c>
      <c r="B17" s="39">
        <f>COUNTIF('Video Ideas'!B2:B71,A17)</f>
        <v>5</v>
      </c>
      <c r="C17" s="39">
        <f>ROUND(AVERAGEIF('Video Ideas'!B2:B71,A17,'Video Ideas'!H2:H71),1)</f>
        <v>8.1999999999999993</v>
      </c>
      <c r="D17" s="39">
        <f>ROUND(AVERAGEIF('Video Ideas'!B2:B71,A17,'Video Ideas'!I2:I71),1)</f>
        <v>1.6</v>
      </c>
    </row>
    <row r="18" spans="1:6" x14ac:dyDescent="0.35">
      <c r="A18" s="40" t="s">
        <v>230</v>
      </c>
      <c r="B18" s="41">
        <f>COUNTIF('Video Ideas'!B2:B71,A18)</f>
        <v>16</v>
      </c>
      <c r="C18" s="41">
        <f>ROUND(AVERAGEIF('Video Ideas'!B2:B71,A18,'Video Ideas'!H2:H71),1)</f>
        <v>7.8</v>
      </c>
      <c r="D18" s="41">
        <f>ROUND(AVERAGEIF('Video Ideas'!B2:B71,A18,'Video Ideas'!I2:I71),1)</f>
        <v>1.7</v>
      </c>
    </row>
    <row r="20" spans="1:6" x14ac:dyDescent="0.35">
      <c r="A20" s="1" t="s">
        <v>286</v>
      </c>
      <c r="B20" s="1"/>
      <c r="C20" s="1"/>
      <c r="D20" s="1"/>
      <c r="E20" s="1"/>
      <c r="F20" s="1"/>
    </row>
    <row r="21" spans="1:6" x14ac:dyDescent="0.35">
      <c r="A21" s="42" t="s">
        <v>3</v>
      </c>
      <c r="B21" s="42" t="s">
        <v>1</v>
      </c>
      <c r="C21" s="42" t="s">
        <v>287</v>
      </c>
      <c r="D21" s="42" t="s">
        <v>288</v>
      </c>
      <c r="E21" s="42" t="s">
        <v>10</v>
      </c>
      <c r="F21" s="42" t="s">
        <v>12</v>
      </c>
    </row>
    <row r="22" spans="1:6" x14ac:dyDescent="0.35">
      <c r="A22" s="43" t="str">
        <f>'Video Ideas'!D4</f>
        <v>Complete squad: England</v>
      </c>
      <c r="B22" s="44" t="str">
        <f>'Video Ideas'!B4</f>
        <v>Country Series (Complete Squad)</v>
      </c>
      <c r="C22" s="44">
        <f>'Video Ideas'!H4</f>
        <v>8</v>
      </c>
      <c r="D22" s="44">
        <f>'Video Ideas'!I4</f>
        <v>1</v>
      </c>
      <c r="E22" s="44" t="str">
        <f>'Video Ideas'!K4</f>
        <v>Optional</v>
      </c>
      <c r="F22" s="44" t="str">
        <f>'Video Ideas'!M4</f>
        <v>17/06</v>
      </c>
    </row>
    <row r="23" spans="1:6" x14ac:dyDescent="0.35">
      <c r="A23" s="43" t="str">
        <f>'Video Ideas'!D9</f>
        <v>"Payday = packs" haul</v>
      </c>
      <c r="B23" s="44" t="str">
        <f>'Video Ideas'!B9</f>
        <v>Collection Journey</v>
      </c>
      <c r="C23" s="44">
        <f>'Video Ideas'!H9</f>
        <v>8</v>
      </c>
      <c r="D23" s="44">
        <f>'Video Ideas'!I9</f>
        <v>1</v>
      </c>
      <c r="E23" s="44" t="str">
        <f>'Video Ideas'!K9</f>
        <v>Yes</v>
      </c>
      <c r="F23" s="44" t="str">
        <f>'Video Ideas'!M9</f>
        <v>19/06</v>
      </c>
    </row>
    <row r="24" spans="1:6" x14ac:dyDescent="0.35">
      <c r="A24" s="43" t="str">
        <f>'Video Ideas'!D10</f>
        <v>Complete squad: Scotland</v>
      </c>
      <c r="B24" s="44" t="str">
        <f>'Video Ideas'!B10</f>
        <v>Country Series (Complete Squad)</v>
      </c>
      <c r="C24" s="44">
        <f>'Video Ideas'!H10</f>
        <v>7</v>
      </c>
      <c r="D24" s="44">
        <f>'Video Ideas'!I10</f>
        <v>1</v>
      </c>
      <c r="E24" s="44" t="str">
        <f>'Video Ideas'!K10</f>
        <v>Optional</v>
      </c>
      <c r="F24" s="44" t="str">
        <f>'Video Ideas'!M10</f>
        <v>19/06</v>
      </c>
    </row>
    <row r="25" spans="1:6" ht="26" x14ac:dyDescent="0.35">
      <c r="A25" s="43" t="str">
        <f>'Video Ideas'!D11</f>
        <v>Pack opening 1/2 - during Scotland-Morocco match</v>
      </c>
      <c r="B25" s="44" t="str">
        <f>'Video Ideas'!B11</f>
        <v>Pack Opening Series</v>
      </c>
      <c r="C25" s="44">
        <f>'Video Ideas'!H11</f>
        <v>8</v>
      </c>
      <c r="D25" s="44">
        <f>'Video Ideas'!I11</f>
        <v>2</v>
      </c>
      <c r="E25" s="44" t="str">
        <f>'Video Ideas'!K11</f>
        <v>Yes</v>
      </c>
      <c r="F25" s="44" t="str">
        <f>'Video Ideas'!M11</f>
        <v>19/06</v>
      </c>
    </row>
    <row r="26" spans="1:6" x14ac:dyDescent="0.35">
      <c r="A26" s="43" t="str">
        <f>'Video Ideas'!D12</f>
        <v>"Wrong bag" shopping swap</v>
      </c>
      <c r="B26" s="44" t="str">
        <f>'Video Ideas'!B12</f>
        <v>Humor &amp; Sketches</v>
      </c>
      <c r="C26" s="44">
        <f>'Video Ideas'!H12</f>
        <v>7</v>
      </c>
      <c r="D26" s="44">
        <f>'Video Ideas'!I12</f>
        <v>1</v>
      </c>
      <c r="E26" s="44" t="str">
        <f>'Video Ideas'!K12</f>
        <v>Yes</v>
      </c>
      <c r="F26" s="44" t="str">
        <f>'Video Ideas'!M12</f>
        <v>20/06</v>
      </c>
    </row>
    <row r="27" spans="1:6" x14ac:dyDescent="0.35">
      <c r="A27" s="43" t="str">
        <f>'Video Ideas'!D13</f>
        <v>Real swap with a work colleague</v>
      </c>
      <c r="B27" s="44" t="str">
        <f>'Video Ideas'!B13</f>
        <v>Doubles &amp; Swap Demo</v>
      </c>
      <c r="C27" s="44">
        <f>'Video Ideas'!H13</f>
        <v>9</v>
      </c>
      <c r="D27" s="44">
        <f>'Video Ideas'!I13</f>
        <v>2</v>
      </c>
      <c r="E27" s="44" t="str">
        <f>'Video Ideas'!K13</f>
        <v>Yes</v>
      </c>
      <c r="F27" s="44" t="str">
        <f>'Video Ideas'!M13</f>
        <v>20/06</v>
      </c>
    </row>
    <row r="28" spans="1:6" ht="26" x14ac:dyDescent="0.35">
      <c r="A28" s="43" t="str">
        <f>'Video Ideas'!D14</f>
        <v>Pack opening 2/2 - during Scotland-Morocco match</v>
      </c>
      <c r="B28" s="44" t="str">
        <f>'Video Ideas'!B14</f>
        <v>Pack Opening Series</v>
      </c>
      <c r="C28" s="44">
        <f>'Video Ideas'!H14</f>
        <v>8</v>
      </c>
      <c r="D28" s="44">
        <f>'Video Ideas'!I14</f>
        <v>2</v>
      </c>
      <c r="E28" s="44" t="str">
        <f>'Video Ideas'!K14</f>
        <v>Yes</v>
      </c>
      <c r="F28" s="44" t="str">
        <f>'Video Ideas'!M14</f>
        <v>20/06</v>
      </c>
    </row>
    <row r="29" spans="1:6" x14ac:dyDescent="0.35">
      <c r="A29" s="43" t="str">
        <f>'Video Ideas'!D15</f>
        <v>Treasure hunt #1 - Hide (Parc des Princes area)</v>
      </c>
      <c r="B29" s="44" t="str">
        <f>'Video Ideas'!B15</f>
        <v>Community &amp; Growth Loops</v>
      </c>
      <c r="C29" s="44">
        <f>'Video Ideas'!H15</f>
        <v>10</v>
      </c>
      <c r="D29" s="44">
        <f>'Video Ideas'!I15</f>
        <v>4</v>
      </c>
      <c r="E29" s="44" t="str">
        <f>'Video Ideas'!K15</f>
        <v>Yes</v>
      </c>
      <c r="F29" s="44" t="str">
        <f>'Video Ideas'!M15</f>
        <v>21/06</v>
      </c>
    </row>
    <row r="30" spans="1:6" x14ac:dyDescent="0.35">
      <c r="A30" s="43" t="str">
        <f>'Video Ideas'!D26</f>
        <v>Messi-themed pack opening</v>
      </c>
      <c r="B30" s="44" t="str">
        <f>'Video Ideas'!B26</f>
        <v>Pack Opening Series</v>
      </c>
      <c r="C30" s="44">
        <f>'Video Ideas'!H26</f>
        <v>9</v>
      </c>
      <c r="D30" s="44">
        <f>'Video Ideas'!I26</f>
        <v>1</v>
      </c>
      <c r="E30" s="44" t="str">
        <f>'Video Ideas'!K26</f>
        <v>Yes</v>
      </c>
      <c r="F30" s="44" t="str">
        <f>'Video Ideas'!M26</f>
        <v>26/06</v>
      </c>
    </row>
    <row r="31" spans="1:6" x14ac:dyDescent="0.35">
      <c r="A31" s="43" t="str">
        <f>'Video Ideas'!D27</f>
        <v>Album completion: 50%</v>
      </c>
      <c r="B31" s="44" t="str">
        <f>'Video Ideas'!B27</f>
        <v>Collection Journey</v>
      </c>
      <c r="C31" s="44">
        <f>'Video Ideas'!H27</f>
        <v>9</v>
      </c>
      <c r="D31" s="44">
        <f>'Video Ideas'!I27</f>
        <v>1</v>
      </c>
      <c r="E31" s="44" t="str">
        <f>'Video Ideas'!K27</f>
        <v>Yes</v>
      </c>
      <c r="F31" s="44" t="str">
        <f>'Video Ideas'!M27</f>
        <v>27/06</v>
      </c>
    </row>
    <row r="32" spans="1:6" x14ac:dyDescent="0.35">
      <c r="A32" s="43" t="str">
        <f>'Video Ideas'!D52</f>
        <v>Eurostar pack delivery</v>
      </c>
      <c r="B32" s="44" t="str">
        <f>'Video Ideas'!B52</f>
        <v>Humor &amp; Sketches</v>
      </c>
      <c r="C32" s="44">
        <f>'Video Ideas'!H52</f>
        <v>8</v>
      </c>
      <c r="D32" s="44">
        <f>'Video Ideas'!I52</f>
        <v>4</v>
      </c>
      <c r="E32" s="44" t="str">
        <f>'Video Ideas'!K52</f>
        <v>Yes</v>
      </c>
      <c r="F32" s="44" t="str">
        <f>'Video Ideas'!M52</f>
        <v>09/07</v>
      </c>
    </row>
    <row r="33" spans="1:6" x14ac:dyDescent="0.35">
      <c r="A33" s="43" t="str">
        <f>'Video Ideas'!D64</f>
        <v>"Please send him Ecuador!"</v>
      </c>
      <c r="B33" s="44" t="str">
        <f>'Video Ideas'!B64</f>
        <v>Humor &amp; Sketches</v>
      </c>
      <c r="C33" s="44">
        <f>'Video Ideas'!H64</f>
        <v>9</v>
      </c>
      <c r="D33" s="44">
        <f>'Video Ideas'!I64</f>
        <v>3</v>
      </c>
      <c r="E33" s="44" t="str">
        <f>'Video Ideas'!K64</f>
        <v>Yes</v>
      </c>
      <c r="F33" s="44" t="str">
        <f>'Video Ideas'!M64</f>
        <v>15/07</v>
      </c>
    </row>
  </sheetData>
  <mergeCells count="4">
    <mergeCell ref="A1:F1"/>
    <mergeCell ref="A3:B3"/>
    <mergeCell ref="A10:D10"/>
    <mergeCell ref="A20:F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Video Ideas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Robbie  ARHIP-PATERSON</cp:lastModifiedBy>
  <cp:revision>0</cp:revision>
  <dcterms:created xsi:type="dcterms:W3CDTF">2026-06-16T14:14:16Z</dcterms:created>
  <dcterms:modified xsi:type="dcterms:W3CDTF">2026-06-16T14:30:05Z</dcterms:modified>
  <dc:language>en-US</dc:language>
</cp:coreProperties>
</file>